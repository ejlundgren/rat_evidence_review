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ejlundgren/Dropbox/Projects/RATS/figures/"/>
    </mc:Choice>
  </mc:AlternateContent>
  <xr:revisionPtr revIDLastSave="0" documentId="13_ncr:1_{12DB8F7E-F4BB-974E-A9C6-401B1946AAB3}" xr6:coauthVersionLast="47" xr6:coauthVersionMax="47" xr10:uidLastSave="{00000000-0000-0000-0000-000000000000}"/>
  <bookViews>
    <workbookView xWindow="0" yWindow="760" windowWidth="30240" windowHeight="17480" xr2:uid="{8797134B-E1C8-964D-BC69-1A0334CFECD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74" i="1" l="1"/>
  <c r="C73" i="1"/>
  <c r="C72" i="1"/>
  <c r="C71" i="1"/>
  <c r="C70" i="1"/>
  <c r="C67" i="1"/>
  <c r="C66" i="1"/>
  <c r="C65" i="1"/>
  <c r="C64" i="1"/>
  <c r="C63" i="1"/>
  <c r="G74" i="1"/>
  <c r="G73" i="1"/>
  <c r="G72" i="1"/>
  <c r="G71" i="1"/>
  <c r="G70" i="1"/>
  <c r="G67" i="1"/>
  <c r="G66" i="1"/>
  <c r="G65" i="1"/>
  <c r="G64" i="1"/>
  <c r="G63" i="1"/>
  <c r="G60" i="1"/>
  <c r="G59" i="1"/>
  <c r="G58" i="1"/>
  <c r="G57" i="1"/>
  <c r="G56" i="1"/>
  <c r="C60" i="1"/>
  <c r="C59" i="1"/>
  <c r="C58" i="1"/>
  <c r="C57" i="1"/>
  <c r="C56" i="1"/>
  <c r="L53" i="1"/>
  <c r="J53" i="1"/>
  <c r="L52" i="1"/>
  <c r="J52" i="1"/>
  <c r="L51" i="1"/>
  <c r="J51" i="1"/>
  <c r="L50" i="1"/>
  <c r="J50" i="1"/>
  <c r="L49" i="1"/>
  <c r="J49" i="1"/>
  <c r="G53" i="1"/>
  <c r="G52" i="1"/>
  <c r="G51" i="1"/>
  <c r="G50" i="1"/>
  <c r="G49" i="1"/>
  <c r="C53" i="1"/>
  <c r="C52" i="1"/>
  <c r="C51" i="1"/>
  <c r="C50" i="1"/>
  <c r="C49" i="1"/>
  <c r="G35" i="1"/>
  <c r="G36" i="1"/>
  <c r="C35" i="1"/>
  <c r="C36" i="1"/>
  <c r="G28" i="1"/>
  <c r="C26" i="1"/>
  <c r="C27" i="1"/>
  <c r="C28" i="1"/>
  <c r="G27" i="1"/>
  <c r="G26" i="1"/>
  <c r="G46" i="1"/>
  <c r="C46" i="1"/>
  <c r="G45" i="1"/>
  <c r="C45" i="1"/>
  <c r="G44" i="1"/>
  <c r="C44" i="1"/>
  <c r="G43" i="1"/>
  <c r="C43" i="1"/>
  <c r="G42" i="1"/>
  <c r="C42" i="1"/>
  <c r="G34" i="1"/>
  <c r="C34" i="1"/>
  <c r="G33" i="1"/>
  <c r="C33" i="1"/>
  <c r="G32" i="1"/>
  <c r="C32" i="1"/>
  <c r="G31" i="1"/>
  <c r="C31" i="1"/>
  <c r="G25" i="1"/>
  <c r="C25" i="1"/>
  <c r="G24" i="1"/>
  <c r="C24" i="1"/>
  <c r="G23" i="1"/>
  <c r="C23" i="1"/>
  <c r="G22" i="1"/>
  <c r="C22" i="1"/>
  <c r="G21" i="1"/>
  <c r="C21" i="1"/>
  <c r="G20" i="1"/>
  <c r="C20" i="1"/>
  <c r="G17" i="1"/>
  <c r="G18" i="1"/>
  <c r="G19" i="1"/>
  <c r="C17" i="1"/>
  <c r="C18" i="1"/>
  <c r="C19" i="1"/>
  <c r="G16" i="1"/>
  <c r="C16" i="1"/>
  <c r="G13" i="1"/>
  <c r="G12" i="1"/>
  <c r="G11" i="1"/>
  <c r="C11" i="1"/>
  <c r="C13" i="1"/>
  <c r="C12" i="1"/>
  <c r="G10" i="1"/>
  <c r="C10" i="1"/>
</calcChain>
</file>

<file path=xl/sharedStrings.xml><?xml version="1.0" encoding="utf-8"?>
<sst xmlns="http://schemas.openxmlformats.org/spreadsheetml/2006/main" count="138" uniqueCount="60">
  <si>
    <r>
      <t xml:space="preserve">Total number of </t>
    </r>
    <r>
      <rPr>
        <b/>
        <sz val="12"/>
        <color theme="1"/>
        <rFont val="Aptos Narrow"/>
        <scheme val="minor"/>
      </rPr>
      <t>articles</t>
    </r>
  </si>
  <si>
    <r>
      <t xml:space="preserve">Total number of </t>
    </r>
    <r>
      <rPr>
        <b/>
        <sz val="12"/>
        <color theme="1"/>
        <rFont val="Aptos Narrow"/>
        <scheme val="minor"/>
      </rPr>
      <t>studies</t>
    </r>
  </si>
  <si>
    <t>Black rats</t>
  </si>
  <si>
    <t>Brown rats</t>
  </si>
  <si>
    <t>Pacfic rats</t>
  </si>
  <si>
    <t>Mice</t>
  </si>
  <si>
    <t>All rodents</t>
  </si>
  <si>
    <t>Number</t>
  </si>
  <si>
    <t>Proportion</t>
  </si>
  <si>
    <t>NA</t>
  </si>
  <si>
    <t>Predation</t>
  </si>
  <si>
    <t>Population + data</t>
  </si>
  <si>
    <t>Population + all qualities</t>
  </si>
  <si>
    <t>Population (abundance + reproductive success)</t>
  </si>
  <si>
    <t>Population - abundance</t>
  </si>
  <si>
    <t>Population - reproductive success</t>
  </si>
  <si>
    <t>ALL BIRDS</t>
  </si>
  <si>
    <t>RODENTS ARE "PRIMARY"</t>
  </si>
  <si>
    <t>Lethal program (abundance + reproductive success)</t>
  </si>
  <si>
    <t>Lethal program - reproductive success</t>
  </si>
  <si>
    <t>Lethal program - abundance</t>
  </si>
  <si>
    <t>Population (abundance + reproductive success) + data</t>
  </si>
  <si>
    <t>Population - reproductive success + data</t>
  </si>
  <si>
    <t>Population - abundance + data</t>
  </si>
  <si>
    <t>Population (abundance + reproductive success) + all qualities</t>
  </si>
  <si>
    <t>Population - reproductive success + all qualities</t>
  </si>
  <si>
    <t>Population - abundance + all qualities</t>
  </si>
  <si>
    <t>STUDIES ARE ABOUT</t>
  </si>
  <si>
    <t>STUDIES DEDICATED TO</t>
  </si>
  <si>
    <t>OVERVIEW OF ARTICLES &amp; STUDIES FOUND</t>
  </si>
  <si>
    <t>BIRDS WITH NO STUDIES</t>
  </si>
  <si>
    <t>SUMMARY STATS FOR STUDIES</t>
  </si>
  <si>
    <t>SUMMARY STATS FOR BIRDS</t>
  </si>
  <si>
    <t>(8) STUDIES NOT IN SUPPORT</t>
  </si>
  <si>
    <t>BIRDS WITH *ONLY*  PREDATION STUDIES (IN SUPPORT)</t>
  </si>
  <si>
    <t>BIRDS  WITH POPULATION STUDIES (IN SUPPORT)</t>
  </si>
  <si>
    <t>BIRDS WITH POPULATION STUDIES (IN SUPPORT) THAT PROVIDE RODENT &amp; BIRD DATA</t>
  </si>
  <si>
    <t>BIRDS WITH POPULATION STUDIES (IN SUPPORT) THAT MEET ALL QUALITIES</t>
  </si>
  <si>
    <t>SUMMARY OF SYSTEMATIC REVIEW</t>
  </si>
  <si>
    <t>Did this as proportion of total studies</t>
  </si>
  <si>
    <t>Did as proportion of studies in that category</t>
  </si>
  <si>
    <t>132 total species</t>
  </si>
  <si>
    <t>338 total bird species. See in proportion formula for totals</t>
  </si>
  <si>
    <t>Totals were based on number of birds attributed to rodent</t>
  </si>
  <si>
    <t>Mean number of studies per bird species</t>
  </si>
  <si>
    <t xml:space="preserve"> </t>
  </si>
  <si>
    <t>Calculated as average number of articles/studies per bird species</t>
  </si>
  <si>
    <t>Mean number of studies per bird species WITH studies in that category</t>
  </si>
  <si>
    <t>I did this one based on birds that had a study in that category and also the quality attribute for those studies. E.g., Mean number of quality abundance studies that did not support hypothesis per birds with any quality abundance study</t>
  </si>
  <si>
    <t>Number of birds</t>
  </si>
  <si>
    <t>Proportion of birds</t>
  </si>
  <si>
    <t>Proportion of all birds I assume? Using same totals as above. Or should this be based on birds with ANY studies?</t>
  </si>
  <si>
    <t>All birds</t>
  </si>
  <si>
    <t>Rodent primary</t>
  </si>
  <si>
    <t>^^^^ If there is a study on effects of black rats on a bird but no study on the effects of brown rats on that same bird, the black rat study is not counted</t>
  </si>
  <si>
    <t>Mean number of studies per birds in category</t>
  </si>
  <si>
    <t>This is mean number of Supportive population studies for birds that have any population study &amp; are attributed to rodent</t>
  </si>
  <si>
    <t>This is mean number of Supportive + data population studies for birds that have any population + data study &amp; are attributed to rodent</t>
  </si>
  <si>
    <t>&lt;- 2 because there is only 1 bird with any population study + data and it has 2 in support</t>
  </si>
  <si>
    <t>IF based on proportion of birds with any study in any direction (not total number of birds). See in formula for total that have any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</si>
</sst>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1"/>
      <name val="Aptos Narrow"/>
      <scheme val="minor"/>
    </font>
    <font>
      <sz val="12"/>
      <color theme="1"/>
      <name val="Aptos Narrow"/>
      <scheme val="minor"/>
    </font>
    <font>
      <b/>
      <sz val="18"/>
      <color theme="1"/>
      <name val="Aptos Narrow"/>
      <scheme val="minor"/>
    </font>
    <font>
      <sz val="12"/>
      <color rgb="FFFF0000"/>
      <name val="Aptos Narrow"/>
      <family val="2"/>
      <scheme val="minor"/>
    </font>
    <font>
      <i/>
      <sz val="12"/>
      <color theme="1"/>
      <name val="Aptos Narrow"/>
      <scheme val="minor"/>
    </font>
  </fonts>
  <fills count="8">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6"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33">
    <xf numFmtId="0" fontId="0" fillId="0" borderId="0" xfId="0"/>
    <xf numFmtId="0" fontId="1" fillId="0" borderId="1" xfId="0" applyFont="1" applyBorder="1" applyAlignment="1">
      <alignment wrapText="1"/>
    </xf>
    <xf numFmtId="0" fontId="0" fillId="0" borderId="1" xfId="0" applyBorder="1" applyAlignment="1">
      <alignment wrapText="1"/>
    </xf>
    <xf numFmtId="0" fontId="2" fillId="0" borderId="1" xfId="0" applyFont="1" applyBorder="1" applyAlignment="1">
      <alignment wrapText="1"/>
    </xf>
    <xf numFmtId="0" fontId="0" fillId="0" borderId="0" xfId="0" applyAlignment="1">
      <alignment wrapText="1"/>
    </xf>
    <xf numFmtId="0" fontId="0" fillId="0" borderId="1" xfId="0" applyBorder="1" applyAlignment="1">
      <alignment horizontal="center"/>
    </xf>
    <xf numFmtId="0" fontId="0" fillId="0" borderId="1" xfId="0" applyBorder="1" applyAlignment="1">
      <alignment horizontal="center" wrapText="1"/>
    </xf>
    <xf numFmtId="0" fontId="0" fillId="2" borderId="1" xfId="0" applyFill="1" applyBorder="1" applyAlignment="1">
      <alignment horizontal="center"/>
    </xf>
    <xf numFmtId="0" fontId="0" fillId="0" borderId="0" xfId="0" applyAlignment="1">
      <alignment horizontal="center"/>
    </xf>
    <xf numFmtId="0" fontId="3" fillId="3" borderId="1" xfId="0" applyFont="1" applyFill="1" applyBorder="1" applyAlignment="1">
      <alignment horizontal="left"/>
    </xf>
    <xf numFmtId="0" fontId="5" fillId="0" borderId="1" xfId="0" applyFont="1" applyBorder="1" applyAlignment="1">
      <alignment horizontal="center"/>
    </xf>
    <xf numFmtId="0" fontId="2" fillId="6" borderId="1" xfId="0" applyFont="1" applyFill="1" applyBorder="1" applyAlignment="1">
      <alignment wrapText="1"/>
    </xf>
    <xf numFmtId="0" fontId="2" fillId="7" borderId="1" xfId="0" applyFont="1" applyFill="1" applyBorder="1" applyAlignment="1">
      <alignment wrapText="1"/>
    </xf>
    <xf numFmtId="0" fontId="2" fillId="4" borderId="1" xfId="0" applyFont="1" applyFill="1" applyBorder="1" applyAlignment="1">
      <alignment wrapText="1"/>
    </xf>
    <xf numFmtId="0" fontId="0" fillId="0" borderId="1" xfId="0" applyBorder="1" applyAlignment="1">
      <alignment horizontal="left"/>
    </xf>
    <xf numFmtId="0" fontId="4" fillId="0" borderId="1" xfId="0" applyFont="1" applyBorder="1" applyAlignment="1">
      <alignment horizontal="left"/>
    </xf>
    <xf numFmtId="0" fontId="5" fillId="0" borderId="1" xfId="0" applyFont="1" applyBorder="1" applyAlignment="1">
      <alignment horizontal="center" wrapText="1"/>
    </xf>
    <xf numFmtId="0" fontId="0" fillId="5" borderId="1" xfId="0" applyFill="1" applyBorder="1" applyAlignment="1">
      <alignment horizontal="center"/>
    </xf>
    <xf numFmtId="0" fontId="0" fillId="5" borderId="1" xfId="0" applyFill="1" applyBorder="1" applyAlignment="1">
      <alignment horizontal="left"/>
    </xf>
    <xf numFmtId="0" fontId="0" fillId="5" borderId="0" xfId="0" applyFill="1"/>
    <xf numFmtId="0" fontId="1" fillId="0" borderId="1" xfId="0" applyFont="1" applyBorder="1" applyAlignment="1">
      <alignment horizontal="center"/>
    </xf>
    <xf numFmtId="0" fontId="1" fillId="0" borderId="1" xfId="0" applyFont="1" applyBorder="1" applyAlignment="1">
      <alignment horizontal="center" wrapText="1"/>
    </xf>
    <xf numFmtId="0" fontId="1" fillId="0" borderId="1" xfId="0" applyFont="1" applyBorder="1" applyAlignment="1">
      <alignment horizontal="left"/>
    </xf>
    <xf numFmtId="0" fontId="1" fillId="5" borderId="1" xfId="0" applyFont="1" applyFill="1" applyBorder="1" applyAlignment="1">
      <alignment horizontal="left" wrapText="1"/>
    </xf>
    <xf numFmtId="0" fontId="0" fillId="5" borderId="1" xfId="0" applyFill="1" applyBorder="1" applyAlignment="1">
      <alignment wrapText="1"/>
    </xf>
    <xf numFmtId="0" fontId="0" fillId="0" borderId="1" xfId="0" applyBorder="1" applyAlignment="1">
      <alignment horizontal="left" wrapText="1"/>
    </xf>
    <xf numFmtId="0" fontId="0" fillId="5" borderId="1" xfId="0" applyFill="1" applyBorder="1" applyAlignment="1">
      <alignment horizontal="left" wrapText="1"/>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3" fillId="4" borderId="5" xfId="0" applyFont="1" applyFill="1" applyBorder="1" applyAlignment="1">
      <alignment horizontal="center" wrapText="1"/>
    </xf>
    <xf numFmtId="0" fontId="3" fillId="4" borderId="0" xfId="0" applyFont="1" applyFill="1" applyAlignment="1">
      <alignment horizontal="center" wrapText="1"/>
    </xf>
    <xf numFmtId="0" fontId="3" fillId="4" borderId="6"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0822C-817A-2642-AC3D-450B7AB79ADA}">
  <dimension ref="A1:L77"/>
  <sheetViews>
    <sheetView tabSelected="1" topLeftCell="A37" zoomScale="90" zoomScaleNormal="90" workbookViewId="0">
      <selection activeCell="G74" sqref="G74"/>
    </sheetView>
  </sheetViews>
  <sheetFormatPr baseColWidth="10" defaultRowHeight="16" x14ac:dyDescent="0.2"/>
  <cols>
    <col min="1" max="1" width="53" style="4" customWidth="1"/>
    <col min="2" max="3" width="16.33203125" style="8" customWidth="1"/>
    <col min="4" max="4" width="22.5" style="8" customWidth="1"/>
    <col min="5" max="5" width="5" customWidth="1"/>
    <col min="6" max="8" width="16.33203125" style="8" customWidth="1"/>
  </cols>
  <sheetData>
    <row r="1" spans="1:8" ht="24" x14ac:dyDescent="0.3">
      <c r="A1" s="30" t="s">
        <v>38</v>
      </c>
      <c r="B1" s="31"/>
      <c r="C1" s="31"/>
      <c r="D1" s="31"/>
      <c r="E1" s="31"/>
      <c r="F1" s="31"/>
      <c r="G1" s="31"/>
      <c r="H1" s="32"/>
    </row>
    <row r="2" spans="1:8" x14ac:dyDescent="0.2">
      <c r="A2" s="1"/>
      <c r="B2" s="27" t="s">
        <v>16</v>
      </c>
      <c r="C2" s="28"/>
      <c r="D2" s="29"/>
      <c r="F2" s="27" t="s">
        <v>17</v>
      </c>
      <c r="G2" s="28"/>
      <c r="H2" s="29"/>
    </row>
    <row r="3" spans="1:8" ht="51" x14ac:dyDescent="0.2">
      <c r="B3" s="20" t="s">
        <v>7</v>
      </c>
      <c r="C3" s="20" t="s">
        <v>8</v>
      </c>
      <c r="D3" s="21" t="s">
        <v>44</v>
      </c>
      <c r="F3" s="20" t="s">
        <v>7</v>
      </c>
      <c r="G3" s="20" t="s">
        <v>8</v>
      </c>
      <c r="H3" s="21" t="s">
        <v>44</v>
      </c>
    </row>
    <row r="4" spans="1:8" ht="24" x14ac:dyDescent="0.3">
      <c r="A4" s="9" t="s">
        <v>31</v>
      </c>
      <c r="B4" s="5"/>
      <c r="C4" s="10"/>
      <c r="D4" s="16"/>
      <c r="F4" s="5"/>
      <c r="G4" s="5"/>
      <c r="H4" s="6"/>
    </row>
    <row r="5" spans="1:8" ht="68" x14ac:dyDescent="0.2">
      <c r="A5" s="1" t="s">
        <v>29</v>
      </c>
      <c r="B5" s="5"/>
      <c r="C5" s="5"/>
      <c r="D5" s="6" t="s">
        <v>46</v>
      </c>
      <c r="F5" s="5"/>
      <c r="G5" s="5"/>
      <c r="H5" s="6" t="s">
        <v>46</v>
      </c>
    </row>
    <row r="6" spans="1:8" ht="17" x14ac:dyDescent="0.2">
      <c r="A6" s="2" t="s">
        <v>0</v>
      </c>
      <c r="B6" s="7">
        <v>163</v>
      </c>
      <c r="C6" s="5" t="s">
        <v>9</v>
      </c>
      <c r="D6" s="7">
        <v>0.57999999999999996</v>
      </c>
      <c r="F6" s="7">
        <v>82</v>
      </c>
      <c r="G6" s="5" t="s">
        <v>9</v>
      </c>
      <c r="H6" s="7">
        <v>0.66</v>
      </c>
    </row>
    <row r="7" spans="1:8" ht="17" x14ac:dyDescent="0.2">
      <c r="A7" s="2" t="s">
        <v>1</v>
      </c>
      <c r="B7" s="7">
        <v>238</v>
      </c>
      <c r="C7" s="5" t="s">
        <v>9</v>
      </c>
      <c r="D7" s="7">
        <v>0.7</v>
      </c>
      <c r="F7" s="7">
        <v>111</v>
      </c>
      <c r="G7" s="5" t="s">
        <v>9</v>
      </c>
      <c r="H7" s="7">
        <v>0.84</v>
      </c>
    </row>
    <row r="8" spans="1:8" x14ac:dyDescent="0.2">
      <c r="A8" s="2"/>
      <c r="B8" s="5"/>
      <c r="C8" s="5"/>
      <c r="D8" s="5"/>
      <c r="F8" s="5"/>
      <c r="G8" s="5"/>
      <c r="H8" s="5"/>
    </row>
    <row r="9" spans="1:8" ht="51" x14ac:dyDescent="0.2">
      <c r="A9" s="1" t="s">
        <v>28</v>
      </c>
      <c r="B9" s="5"/>
      <c r="C9" s="6" t="s">
        <v>39</v>
      </c>
      <c r="D9" s="5"/>
      <c r="F9" s="5"/>
      <c r="G9" s="5"/>
      <c r="H9" s="5"/>
    </row>
    <row r="10" spans="1:8" ht="17" x14ac:dyDescent="0.2">
      <c r="A10" s="3" t="s">
        <v>2</v>
      </c>
      <c r="B10" s="7">
        <v>168</v>
      </c>
      <c r="C10" s="7">
        <f>B10/B7</f>
        <v>0.70588235294117652</v>
      </c>
      <c r="D10" s="5" t="s">
        <v>9</v>
      </c>
      <c r="F10" s="7">
        <v>83</v>
      </c>
      <c r="G10" s="7">
        <f>F10/F7</f>
        <v>0.74774774774774777</v>
      </c>
      <c r="H10" s="5" t="s">
        <v>9</v>
      </c>
    </row>
    <row r="11" spans="1:8" ht="17" x14ac:dyDescent="0.2">
      <c r="A11" s="3" t="s">
        <v>3</v>
      </c>
      <c r="B11" s="7">
        <v>67</v>
      </c>
      <c r="C11" s="7">
        <f>B11/B7</f>
        <v>0.28151260504201681</v>
      </c>
      <c r="D11" s="5" t="s">
        <v>9</v>
      </c>
      <c r="F11" s="7">
        <v>24</v>
      </c>
      <c r="G11" s="7">
        <f>F11/F7</f>
        <v>0.21621621621621623</v>
      </c>
      <c r="H11" s="5" t="s">
        <v>9</v>
      </c>
    </row>
    <row r="12" spans="1:8" ht="17" x14ac:dyDescent="0.2">
      <c r="A12" s="3" t="s">
        <v>4</v>
      </c>
      <c r="B12" s="7">
        <v>47</v>
      </c>
      <c r="C12" s="7">
        <f>B12/B7</f>
        <v>0.19747899159663865</v>
      </c>
      <c r="D12" s="5" t="s">
        <v>9</v>
      </c>
      <c r="F12" s="7">
        <v>18</v>
      </c>
      <c r="G12" s="7">
        <f>F12/F7</f>
        <v>0.16216216216216217</v>
      </c>
      <c r="H12" s="5" t="s">
        <v>9</v>
      </c>
    </row>
    <row r="13" spans="1:8" ht="17" x14ac:dyDescent="0.2">
      <c r="A13" s="3" t="s">
        <v>5</v>
      </c>
      <c r="B13" s="7">
        <v>36</v>
      </c>
      <c r="C13" s="7">
        <f>B13/B7</f>
        <v>0.15126050420168066</v>
      </c>
      <c r="D13" s="5" t="s">
        <v>9</v>
      </c>
      <c r="F13" s="7">
        <v>7</v>
      </c>
      <c r="G13" s="7">
        <f>F13/F7</f>
        <v>6.3063063063063057E-2</v>
      </c>
      <c r="H13" s="5" t="s">
        <v>9</v>
      </c>
    </row>
    <row r="14" spans="1:8" x14ac:dyDescent="0.2">
      <c r="A14" s="3"/>
      <c r="B14" s="7"/>
      <c r="C14" s="7"/>
      <c r="D14" s="5" t="s">
        <v>9</v>
      </c>
      <c r="F14" s="7"/>
      <c r="G14" s="7"/>
      <c r="H14" s="5" t="s">
        <v>9</v>
      </c>
    </row>
    <row r="15" spans="1:8" ht="17" x14ac:dyDescent="0.2">
      <c r="A15" s="1" t="s">
        <v>27</v>
      </c>
      <c r="B15" s="5"/>
      <c r="C15" s="5"/>
      <c r="D15" s="5"/>
      <c r="F15" s="5"/>
      <c r="G15" s="5"/>
      <c r="H15" s="5"/>
    </row>
    <row r="16" spans="1:8" ht="17" x14ac:dyDescent="0.2">
      <c r="A16" s="3" t="s">
        <v>10</v>
      </c>
      <c r="B16" s="7">
        <v>121</v>
      </c>
      <c r="C16" s="7">
        <f>B16/238</f>
        <v>0.50840336134453779</v>
      </c>
      <c r="D16" s="7">
        <v>0.35699999999999998</v>
      </c>
      <c r="F16" s="7">
        <v>46</v>
      </c>
      <c r="G16" s="7">
        <f>F16/111</f>
        <v>0.4144144144144144</v>
      </c>
      <c r="H16" s="7">
        <v>0.27380949999999998</v>
      </c>
    </row>
    <row r="17" spans="1:8" ht="17" x14ac:dyDescent="0.2">
      <c r="A17" s="3" t="s">
        <v>18</v>
      </c>
      <c r="B17" s="7">
        <v>16</v>
      </c>
      <c r="C17" s="7">
        <f t="shared" ref="C17:C28" si="0">B17/238</f>
        <v>6.7226890756302518E-2</v>
      </c>
      <c r="D17" s="7">
        <v>4.7E-2</v>
      </c>
      <c r="F17" s="7">
        <v>8</v>
      </c>
      <c r="G17" s="7">
        <f t="shared" ref="G17:G28" si="1">F17/111</f>
        <v>7.2072072072072071E-2</v>
      </c>
      <c r="H17" s="7">
        <v>6.0606060000000003E-2</v>
      </c>
    </row>
    <row r="18" spans="1:8" ht="17" x14ac:dyDescent="0.2">
      <c r="A18" s="3" t="s">
        <v>19</v>
      </c>
      <c r="B18" s="7">
        <v>13</v>
      </c>
      <c r="C18" s="7">
        <f t="shared" si="0"/>
        <v>5.4621848739495799E-2</v>
      </c>
      <c r="D18" s="7">
        <v>3.8461540000000002E-2</v>
      </c>
      <c r="F18" s="7">
        <v>7</v>
      </c>
      <c r="G18" s="7">
        <f t="shared" si="1"/>
        <v>6.3063063063063057E-2</v>
      </c>
      <c r="H18" s="7">
        <v>5.3030300000000002E-2</v>
      </c>
    </row>
    <row r="19" spans="1:8" ht="17" x14ac:dyDescent="0.2">
      <c r="A19" s="3" t="s">
        <v>20</v>
      </c>
      <c r="B19" s="7">
        <v>3</v>
      </c>
      <c r="C19" s="7">
        <f t="shared" si="0"/>
        <v>1.2605042016806723E-2</v>
      </c>
      <c r="D19" s="7">
        <v>8.87574E-3</v>
      </c>
      <c r="F19" s="7">
        <v>1</v>
      </c>
      <c r="G19" s="7">
        <f t="shared" si="1"/>
        <v>9.0090090090090089E-3</v>
      </c>
      <c r="H19" s="7">
        <v>7.5757580000000001E-3</v>
      </c>
    </row>
    <row r="20" spans="1:8" ht="17" x14ac:dyDescent="0.2">
      <c r="A20" s="13" t="s">
        <v>13</v>
      </c>
      <c r="B20" s="7">
        <v>101</v>
      </c>
      <c r="C20" s="7">
        <f t="shared" si="0"/>
        <v>0.42436974789915966</v>
      </c>
      <c r="D20" s="7">
        <v>0.29881659999999999</v>
      </c>
      <c r="F20" s="7">
        <v>57</v>
      </c>
      <c r="G20" s="7">
        <f t="shared" si="1"/>
        <v>0.51351351351351349</v>
      </c>
      <c r="H20" s="7">
        <v>0.43181819999999999</v>
      </c>
    </row>
    <row r="21" spans="1:8" ht="17" x14ac:dyDescent="0.2">
      <c r="A21" s="13" t="s">
        <v>15</v>
      </c>
      <c r="B21" s="7">
        <v>22</v>
      </c>
      <c r="C21" s="7">
        <f t="shared" si="0"/>
        <v>9.2436974789915971E-2</v>
      </c>
      <c r="D21" s="7">
        <v>6.5088759999999996E-2</v>
      </c>
      <c r="F21" s="7">
        <v>14</v>
      </c>
      <c r="G21" s="7">
        <f t="shared" si="1"/>
        <v>0.12612612612612611</v>
      </c>
      <c r="H21" s="7">
        <v>0.1060606</v>
      </c>
    </row>
    <row r="22" spans="1:8" ht="17" x14ac:dyDescent="0.2">
      <c r="A22" s="13" t="s">
        <v>14</v>
      </c>
      <c r="B22" s="7">
        <v>79</v>
      </c>
      <c r="C22" s="7">
        <f t="shared" si="0"/>
        <v>0.33193277310924368</v>
      </c>
      <c r="D22" s="7">
        <v>0.23372780000000001</v>
      </c>
      <c r="F22" s="7">
        <v>43</v>
      </c>
      <c r="G22" s="7">
        <f t="shared" si="1"/>
        <v>0.38738738738738737</v>
      </c>
      <c r="H22" s="7">
        <v>0.32575759999999998</v>
      </c>
    </row>
    <row r="23" spans="1:8" ht="17" x14ac:dyDescent="0.2">
      <c r="A23" s="12" t="s">
        <v>21</v>
      </c>
      <c r="B23" s="7">
        <v>43</v>
      </c>
      <c r="C23" s="7">
        <f t="shared" si="0"/>
        <v>0.18067226890756302</v>
      </c>
      <c r="D23" s="7">
        <v>0.1272189</v>
      </c>
      <c r="F23" s="7">
        <v>26</v>
      </c>
      <c r="G23" s="7">
        <f t="shared" si="1"/>
        <v>0.23423423423423423</v>
      </c>
      <c r="H23" s="7">
        <v>0.1969697</v>
      </c>
    </row>
    <row r="24" spans="1:8" ht="17" x14ac:dyDescent="0.2">
      <c r="A24" s="12" t="s">
        <v>22</v>
      </c>
      <c r="B24" s="7">
        <v>16</v>
      </c>
      <c r="C24" s="7">
        <f t="shared" si="0"/>
        <v>6.7226890756302518E-2</v>
      </c>
      <c r="D24" s="7">
        <v>4.7337280000000002E-2</v>
      </c>
      <c r="F24" s="7">
        <v>11</v>
      </c>
      <c r="G24" s="7">
        <f t="shared" si="1"/>
        <v>9.90990990990991E-2</v>
      </c>
      <c r="H24" s="7">
        <v>8.3333329999999997E-2</v>
      </c>
    </row>
    <row r="25" spans="1:8" ht="17" x14ac:dyDescent="0.2">
      <c r="A25" s="12" t="s">
        <v>23</v>
      </c>
      <c r="B25" s="7">
        <v>27</v>
      </c>
      <c r="C25" s="7">
        <f t="shared" si="0"/>
        <v>0.1134453781512605</v>
      </c>
      <c r="D25" s="7">
        <v>7.9881659999999993E-2</v>
      </c>
      <c r="F25" s="7">
        <v>15</v>
      </c>
      <c r="G25" s="7">
        <f t="shared" si="1"/>
        <v>0.13513513513513514</v>
      </c>
      <c r="H25" s="7">
        <v>0.1136364</v>
      </c>
    </row>
    <row r="26" spans="1:8" ht="17" x14ac:dyDescent="0.2">
      <c r="A26" s="11" t="s">
        <v>24</v>
      </c>
      <c r="B26" s="7">
        <v>15</v>
      </c>
      <c r="C26" s="7">
        <f t="shared" si="0"/>
        <v>6.3025210084033612E-2</v>
      </c>
      <c r="D26" s="7">
        <v>4.43787E-2</v>
      </c>
      <c r="F26" s="7">
        <v>9</v>
      </c>
      <c r="G26" s="7">
        <f t="shared" si="1"/>
        <v>8.1081081081081086E-2</v>
      </c>
      <c r="H26" s="7">
        <v>6.8181820000000004E-2</v>
      </c>
    </row>
    <row r="27" spans="1:8" ht="17" x14ac:dyDescent="0.2">
      <c r="A27" s="11" t="s">
        <v>25</v>
      </c>
      <c r="B27" s="7">
        <v>5</v>
      </c>
      <c r="C27" s="7">
        <f t="shared" si="0"/>
        <v>2.100840336134454E-2</v>
      </c>
      <c r="D27" s="7">
        <v>1.4792899999999999E-2</v>
      </c>
      <c r="F27" s="7">
        <v>4</v>
      </c>
      <c r="G27" s="7">
        <f t="shared" si="1"/>
        <v>3.6036036036036036E-2</v>
      </c>
      <c r="H27" s="7">
        <v>3.0303030000000002E-2</v>
      </c>
    </row>
    <row r="28" spans="1:8" ht="17" x14ac:dyDescent="0.2">
      <c r="A28" s="11" t="s">
        <v>26</v>
      </c>
      <c r="B28" s="7">
        <v>10</v>
      </c>
      <c r="C28" s="7">
        <f t="shared" si="0"/>
        <v>4.2016806722689079E-2</v>
      </c>
      <c r="D28" s="7">
        <v>2.9585799999999999E-2</v>
      </c>
      <c r="F28" s="7">
        <v>5</v>
      </c>
      <c r="G28" s="7">
        <f t="shared" si="1"/>
        <v>4.5045045045045043E-2</v>
      </c>
      <c r="H28" s="7">
        <v>3.7878790000000002E-2</v>
      </c>
    </row>
    <row r="29" spans="1:8" x14ac:dyDescent="0.2">
      <c r="A29" s="3"/>
      <c r="B29" s="5"/>
      <c r="C29" s="5"/>
      <c r="D29" s="5"/>
      <c r="F29" s="5"/>
      <c r="G29" s="5"/>
      <c r="H29" s="5"/>
    </row>
    <row r="30" spans="1:8" ht="85" x14ac:dyDescent="0.2">
      <c r="A30" s="1" t="s">
        <v>33</v>
      </c>
      <c r="B30" s="5"/>
      <c r="C30" s="5" t="s">
        <v>40</v>
      </c>
      <c r="D30" s="6" t="s">
        <v>47</v>
      </c>
      <c r="F30" s="5"/>
      <c r="G30" s="5"/>
      <c r="H30" s="5"/>
    </row>
    <row r="31" spans="1:8" ht="17" x14ac:dyDescent="0.2">
      <c r="A31" s="3" t="s">
        <v>10</v>
      </c>
      <c r="B31" s="7">
        <v>25</v>
      </c>
      <c r="C31" s="7">
        <f>B31/B16</f>
        <v>0.20661157024793389</v>
      </c>
      <c r="D31" s="7">
        <v>0.30120479999999999</v>
      </c>
      <c r="F31" s="7">
        <v>6</v>
      </c>
      <c r="G31" s="7">
        <f>F31/F16</f>
        <v>0.13043478260869565</v>
      </c>
      <c r="H31" s="7">
        <v>0.20689660000000001</v>
      </c>
    </row>
    <row r="32" spans="1:8" ht="17" x14ac:dyDescent="0.2">
      <c r="A32" s="3" t="s">
        <v>18</v>
      </c>
      <c r="B32" s="7">
        <v>7</v>
      </c>
      <c r="C32" s="7">
        <f>B32/B17</f>
        <v>0.4375</v>
      </c>
      <c r="D32" s="7">
        <v>0.63636360000000003</v>
      </c>
      <c r="F32" s="7">
        <v>1</v>
      </c>
      <c r="G32" s="7">
        <f>F32/F17</f>
        <v>0.125</v>
      </c>
      <c r="H32" s="7">
        <v>0.14285709999999999</v>
      </c>
    </row>
    <row r="33" spans="1:12" ht="17" x14ac:dyDescent="0.2">
      <c r="A33" s="13" t="s">
        <v>13</v>
      </c>
      <c r="B33" s="7">
        <v>46</v>
      </c>
      <c r="C33" s="7">
        <f>B33/B20</f>
        <v>0.45544554455445546</v>
      </c>
      <c r="D33" s="7">
        <v>0.66666669999999995</v>
      </c>
      <c r="F33" s="7">
        <v>16</v>
      </c>
      <c r="G33" s="7">
        <f>F33/F20</f>
        <v>0.2807017543859649</v>
      </c>
      <c r="H33" s="7">
        <v>0.47058820000000001</v>
      </c>
    </row>
    <row r="34" spans="1:12" ht="17" x14ac:dyDescent="0.2">
      <c r="A34" s="12" t="s">
        <v>11</v>
      </c>
      <c r="B34" s="7">
        <v>18</v>
      </c>
      <c r="C34" s="7">
        <f>B34/B23</f>
        <v>0.41860465116279072</v>
      </c>
      <c r="D34" s="17">
        <v>0.5625</v>
      </c>
      <c r="F34" s="7">
        <v>6</v>
      </c>
      <c r="G34" s="7">
        <f>F34/F23</f>
        <v>0.23076923076923078</v>
      </c>
      <c r="H34" s="7">
        <v>0.375</v>
      </c>
    </row>
    <row r="35" spans="1:12" ht="17" x14ac:dyDescent="0.2">
      <c r="A35" s="11" t="s">
        <v>12</v>
      </c>
      <c r="B35" s="7">
        <v>8</v>
      </c>
      <c r="C35" s="7">
        <f t="shared" ref="C35" si="2">B35/B24</f>
        <v>0.5</v>
      </c>
      <c r="D35" s="17">
        <v>0.61538459999999995</v>
      </c>
      <c r="F35" s="7">
        <v>2</v>
      </c>
      <c r="G35" s="7">
        <f t="shared" ref="G35" si="3">F35/F24</f>
        <v>0.18181818181818182</v>
      </c>
      <c r="H35" s="7">
        <v>0.28571429999999998</v>
      </c>
    </row>
    <row r="36" spans="1:12" ht="17" x14ac:dyDescent="0.2">
      <c r="A36" s="11" t="s">
        <v>26</v>
      </c>
      <c r="B36" s="7">
        <v>7</v>
      </c>
      <c r="C36" s="7">
        <f>B36/B25</f>
        <v>0.25925925925925924</v>
      </c>
      <c r="D36" s="17">
        <v>0.77777779999999996</v>
      </c>
      <c r="F36" s="7">
        <v>2</v>
      </c>
      <c r="G36" s="7">
        <f>F36/F25</f>
        <v>0.13333333333333333</v>
      </c>
      <c r="H36" s="7">
        <v>0.5</v>
      </c>
    </row>
    <row r="37" spans="1:12" x14ac:dyDescent="0.2">
      <c r="A37" s="2"/>
      <c r="B37" s="15"/>
      <c r="C37" s="5"/>
      <c r="D37" s="18" t="s">
        <v>48</v>
      </c>
      <c r="E37" s="19"/>
      <c r="F37" s="17"/>
      <c r="G37" s="17"/>
      <c r="H37" s="17"/>
    </row>
    <row r="38" spans="1:12" x14ac:dyDescent="0.2">
      <c r="A38" s="2"/>
      <c r="B38" s="15"/>
      <c r="C38" s="5"/>
      <c r="D38" s="14"/>
      <c r="F38" s="5"/>
      <c r="G38" s="5"/>
      <c r="H38" s="5"/>
    </row>
    <row r="39" spans="1:12" ht="53" x14ac:dyDescent="0.3">
      <c r="A39" s="9" t="s">
        <v>32</v>
      </c>
      <c r="B39" s="22" t="s">
        <v>49</v>
      </c>
      <c r="C39" s="21" t="s">
        <v>50</v>
      </c>
      <c r="D39" s="23" t="s">
        <v>55</v>
      </c>
      <c r="F39" s="22" t="s">
        <v>49</v>
      </c>
      <c r="G39" s="21" t="s">
        <v>50</v>
      </c>
      <c r="H39" s="23" t="s">
        <v>55</v>
      </c>
    </row>
    <row r="40" spans="1:12" ht="68" x14ac:dyDescent="0.2">
      <c r="B40" s="5"/>
      <c r="C40" s="25" t="s">
        <v>43</v>
      </c>
      <c r="D40" s="5"/>
      <c r="F40" s="5"/>
      <c r="G40" s="5"/>
      <c r="H40" s="5"/>
    </row>
    <row r="41" spans="1:12" ht="68" x14ac:dyDescent="0.2">
      <c r="A41" s="1" t="s">
        <v>30</v>
      </c>
      <c r="B41" s="5"/>
      <c r="C41" s="25" t="s">
        <v>42</v>
      </c>
      <c r="D41" s="5"/>
      <c r="F41" s="5"/>
      <c r="G41" s="5" t="s">
        <v>41</v>
      </c>
      <c r="H41" s="5"/>
    </row>
    <row r="42" spans="1:12" ht="17" x14ac:dyDescent="0.2">
      <c r="A42" s="3" t="s">
        <v>6</v>
      </c>
      <c r="B42" s="7">
        <v>210</v>
      </c>
      <c r="C42" s="7">
        <f>B42/338</f>
        <v>0.62130177514792895</v>
      </c>
      <c r="D42" s="5" t="s">
        <v>9</v>
      </c>
      <c r="F42" s="7">
        <v>77</v>
      </c>
      <c r="G42" s="7">
        <f>F42/132</f>
        <v>0.58333333333333337</v>
      </c>
      <c r="H42" s="5" t="s">
        <v>9</v>
      </c>
    </row>
    <row r="43" spans="1:12" ht="17" x14ac:dyDescent="0.2">
      <c r="A43" s="3" t="s">
        <v>2</v>
      </c>
      <c r="B43" s="7">
        <v>171</v>
      </c>
      <c r="C43" s="7">
        <f>B43/281</f>
        <v>0.60854092526690395</v>
      </c>
      <c r="D43" s="5" t="s">
        <v>9</v>
      </c>
      <c r="F43" s="7">
        <v>58</v>
      </c>
      <c r="G43" s="7">
        <f>F43/105</f>
        <v>0.55238095238095242</v>
      </c>
      <c r="H43" s="5" t="s">
        <v>9</v>
      </c>
    </row>
    <row r="44" spans="1:12" ht="17" x14ac:dyDescent="0.2">
      <c r="A44" s="3" t="s">
        <v>3</v>
      </c>
      <c r="B44" s="7">
        <v>114</v>
      </c>
      <c r="C44" s="7">
        <f>B44/178</f>
        <v>0.6404494382022472</v>
      </c>
      <c r="D44" s="5" t="s">
        <v>9</v>
      </c>
      <c r="F44" s="7">
        <v>44</v>
      </c>
      <c r="G44" s="7">
        <f>F44/64</f>
        <v>0.6875</v>
      </c>
      <c r="H44" s="5" t="s">
        <v>9</v>
      </c>
    </row>
    <row r="45" spans="1:12" ht="17" x14ac:dyDescent="0.2">
      <c r="A45" s="3" t="s">
        <v>4</v>
      </c>
      <c r="B45" s="7">
        <v>82</v>
      </c>
      <c r="C45" s="7">
        <f>B45/116</f>
        <v>0.7068965517241379</v>
      </c>
      <c r="D45" s="5" t="s">
        <v>9</v>
      </c>
      <c r="F45" s="7">
        <v>37</v>
      </c>
      <c r="G45" s="7">
        <f>F45/48</f>
        <v>0.77083333333333337</v>
      </c>
      <c r="H45" s="5" t="s">
        <v>9</v>
      </c>
    </row>
    <row r="46" spans="1:12" ht="17" x14ac:dyDescent="0.2">
      <c r="A46" s="3" t="s">
        <v>5</v>
      </c>
      <c r="B46" s="7">
        <v>12</v>
      </c>
      <c r="C46" s="7">
        <f>B46/33</f>
        <v>0.36363636363636365</v>
      </c>
      <c r="D46" s="5" t="s">
        <v>9</v>
      </c>
      <c r="F46" s="7">
        <v>6</v>
      </c>
      <c r="G46" s="7">
        <f>F46/13</f>
        <v>0.46153846153846156</v>
      </c>
      <c r="H46" s="5" t="s">
        <v>9</v>
      </c>
    </row>
    <row r="47" spans="1:12" x14ac:dyDescent="0.2">
      <c r="A47" s="2"/>
      <c r="B47" s="5"/>
      <c r="C47" s="5"/>
      <c r="D47" s="5"/>
      <c r="F47" s="5"/>
      <c r="G47" s="5"/>
      <c r="H47" s="5"/>
      <c r="J47" s="19" t="s">
        <v>59</v>
      </c>
      <c r="K47" s="19"/>
      <c r="L47" s="19"/>
    </row>
    <row r="48" spans="1:12" ht="119" x14ac:dyDescent="0.2">
      <c r="A48" s="1" t="s">
        <v>34</v>
      </c>
      <c r="B48" s="5"/>
      <c r="C48" s="26" t="s">
        <v>51</v>
      </c>
      <c r="D48" s="5"/>
      <c r="F48" s="5"/>
      <c r="G48" s="5"/>
      <c r="H48" s="5"/>
      <c r="J48" s="19" t="s">
        <v>52</v>
      </c>
      <c r="K48" s="19"/>
      <c r="L48" s="19" t="s">
        <v>53</v>
      </c>
    </row>
    <row r="49" spans="1:12" ht="17" x14ac:dyDescent="0.2">
      <c r="A49" s="3" t="s">
        <v>6</v>
      </c>
      <c r="B49" s="7">
        <v>50</v>
      </c>
      <c r="C49" s="7">
        <f>B49/338</f>
        <v>0.14792899408284024</v>
      </c>
      <c r="D49" s="5" t="s">
        <v>9</v>
      </c>
      <c r="F49" s="7">
        <v>16</v>
      </c>
      <c r="G49" s="7">
        <f>F49/132</f>
        <v>0.12121212121212122</v>
      </c>
      <c r="H49" s="5" t="s">
        <v>9</v>
      </c>
      <c r="J49" s="19">
        <f>B49/128</f>
        <v>0.390625</v>
      </c>
      <c r="K49" s="19"/>
      <c r="L49" s="19">
        <f>F49/55</f>
        <v>0.29090909090909089</v>
      </c>
    </row>
    <row r="50" spans="1:12" ht="17" x14ac:dyDescent="0.2">
      <c r="A50" s="3" t="s">
        <v>2</v>
      </c>
      <c r="B50" s="7">
        <v>34</v>
      </c>
      <c r="C50" s="7">
        <f>B50/281</f>
        <v>0.12099644128113879</v>
      </c>
      <c r="D50" s="5" t="s">
        <v>9</v>
      </c>
      <c r="F50" s="7">
        <v>11</v>
      </c>
      <c r="G50" s="7">
        <f>F50/105</f>
        <v>0.10476190476190476</v>
      </c>
      <c r="H50" s="5" t="s">
        <v>9</v>
      </c>
      <c r="J50" s="19">
        <f>B50/104</f>
        <v>0.32692307692307693</v>
      </c>
      <c r="K50" s="19"/>
      <c r="L50" s="19">
        <f>F50/44</f>
        <v>0.25</v>
      </c>
    </row>
    <row r="51" spans="1:12" ht="17" x14ac:dyDescent="0.2">
      <c r="A51" s="3" t="s">
        <v>3</v>
      </c>
      <c r="B51" s="7">
        <v>23</v>
      </c>
      <c r="C51" s="7">
        <f>B51/178</f>
        <v>0.12921348314606743</v>
      </c>
      <c r="D51" s="5" t="s">
        <v>9</v>
      </c>
      <c r="F51" s="7">
        <v>8</v>
      </c>
      <c r="G51" s="7">
        <f>F51/64</f>
        <v>0.125</v>
      </c>
      <c r="H51" s="5" t="s">
        <v>9</v>
      </c>
      <c r="J51" s="19">
        <f>B51/46</f>
        <v>0.5</v>
      </c>
      <c r="K51" s="19"/>
      <c r="L51" s="19">
        <f>F51/16</f>
        <v>0.5</v>
      </c>
    </row>
    <row r="52" spans="1:12" ht="17" x14ac:dyDescent="0.2">
      <c r="A52" s="3" t="s">
        <v>4</v>
      </c>
      <c r="B52" s="7">
        <v>10</v>
      </c>
      <c r="C52" s="7">
        <f>B52/116</f>
        <v>8.6206896551724144E-2</v>
      </c>
      <c r="D52" s="5" t="s">
        <v>9</v>
      </c>
      <c r="F52" s="7">
        <v>2</v>
      </c>
      <c r="G52" s="7">
        <f>F52/48</f>
        <v>4.1666666666666664E-2</v>
      </c>
      <c r="H52" s="5" t="s">
        <v>9</v>
      </c>
      <c r="J52" s="19">
        <f>B52/29</f>
        <v>0.34482758620689657</v>
      </c>
      <c r="K52" s="19"/>
      <c r="L52" s="19">
        <f>F52/9</f>
        <v>0.22222222222222221</v>
      </c>
    </row>
    <row r="53" spans="1:12" ht="17" x14ac:dyDescent="0.2">
      <c r="A53" s="3" t="s">
        <v>5</v>
      </c>
      <c r="B53" s="7">
        <v>15</v>
      </c>
      <c r="C53" s="7">
        <f>B53/33</f>
        <v>0.45454545454545453</v>
      </c>
      <c r="D53" s="5" t="s">
        <v>9</v>
      </c>
      <c r="F53" s="7">
        <v>4</v>
      </c>
      <c r="G53" s="7">
        <f>F53/13</f>
        <v>0.30769230769230771</v>
      </c>
      <c r="H53" s="5" t="s">
        <v>9</v>
      </c>
      <c r="J53" s="19">
        <f>B53/18</f>
        <v>0.83333333333333337</v>
      </c>
      <c r="K53" s="19"/>
      <c r="L53" s="19">
        <f>F53/4</f>
        <v>1</v>
      </c>
    </row>
    <row r="54" spans="1:12" ht="68" x14ac:dyDescent="0.2">
      <c r="A54" s="24" t="s">
        <v>54</v>
      </c>
      <c r="B54" s="5"/>
      <c r="C54" s="25" t="s">
        <v>43</v>
      </c>
      <c r="D54" s="5"/>
      <c r="F54" s="5"/>
      <c r="G54" s="5"/>
      <c r="H54" s="5"/>
    </row>
    <row r="55" spans="1:12" ht="153" x14ac:dyDescent="0.2">
      <c r="A55" s="1" t="s">
        <v>35</v>
      </c>
      <c r="B55" s="5"/>
      <c r="C55" s="25" t="s">
        <v>42</v>
      </c>
      <c r="D55" s="6" t="s">
        <v>56</v>
      </c>
      <c r="F55" s="5"/>
      <c r="G55" s="5"/>
      <c r="H55" s="5"/>
    </row>
    <row r="56" spans="1:12" ht="17" x14ac:dyDescent="0.2">
      <c r="A56" s="3" t="s">
        <v>6</v>
      </c>
      <c r="B56" s="7">
        <v>40</v>
      </c>
      <c r="C56" s="7">
        <f>B56/338</f>
        <v>0.11834319526627218</v>
      </c>
      <c r="D56" s="7">
        <v>0.79710139999999996</v>
      </c>
      <c r="F56" s="7">
        <v>29</v>
      </c>
      <c r="G56" s="7">
        <f>F56/132</f>
        <v>0.2196969696969697</v>
      </c>
      <c r="H56" s="7">
        <v>1.2058819999999999</v>
      </c>
    </row>
    <row r="57" spans="1:12" ht="17" x14ac:dyDescent="0.2">
      <c r="A57" s="3" t="s">
        <v>2</v>
      </c>
      <c r="B57" s="7">
        <v>31</v>
      </c>
      <c r="C57" s="7">
        <f>B57/281</f>
        <v>0.1103202846975089</v>
      </c>
      <c r="D57" s="7">
        <v>0.69642859999999995</v>
      </c>
      <c r="F57" s="7">
        <v>24</v>
      </c>
      <c r="G57" s="7">
        <f>F57/105</f>
        <v>0.22857142857142856</v>
      </c>
      <c r="H57" s="7">
        <v>1.1481479999999999</v>
      </c>
    </row>
    <row r="58" spans="1:12" ht="17" x14ac:dyDescent="0.2">
      <c r="A58" s="3" t="s">
        <v>3</v>
      </c>
      <c r="B58" s="7">
        <v>7</v>
      </c>
      <c r="C58" s="7">
        <f>B58/178</f>
        <v>3.9325842696629212E-2</v>
      </c>
      <c r="D58" s="7">
        <v>0.5625</v>
      </c>
      <c r="F58" s="7">
        <v>4</v>
      </c>
      <c r="G58" s="7">
        <f>F58/64</f>
        <v>6.25E-2</v>
      </c>
      <c r="H58" s="7">
        <v>1</v>
      </c>
    </row>
    <row r="59" spans="1:12" ht="17" x14ac:dyDescent="0.2">
      <c r="A59" s="3" t="s">
        <v>4</v>
      </c>
      <c r="B59" s="7">
        <v>6</v>
      </c>
      <c r="C59" s="7">
        <f>B59/116</f>
        <v>5.1724137931034482E-2</v>
      </c>
      <c r="D59" s="7">
        <v>0.76923079999999999</v>
      </c>
      <c r="F59" s="7">
        <v>4</v>
      </c>
      <c r="G59" s="7">
        <f>F59/48</f>
        <v>8.3333333333333329E-2</v>
      </c>
      <c r="H59" s="7">
        <v>1.4</v>
      </c>
    </row>
    <row r="60" spans="1:12" ht="17" x14ac:dyDescent="0.2">
      <c r="A60" s="3" t="s">
        <v>5</v>
      </c>
      <c r="B60" s="7">
        <v>2</v>
      </c>
      <c r="C60" s="7">
        <f>B60/33</f>
        <v>6.0606060606060608E-2</v>
      </c>
      <c r="D60" s="7">
        <v>0.5</v>
      </c>
      <c r="F60" s="7">
        <v>0</v>
      </c>
      <c r="G60" s="7">
        <f>F60/13</f>
        <v>0</v>
      </c>
      <c r="H60" s="7" t="s">
        <v>9</v>
      </c>
    </row>
    <row r="61" spans="1:12" x14ac:dyDescent="0.2">
      <c r="A61" s="2"/>
      <c r="B61" s="5"/>
      <c r="C61" s="14" t="s">
        <v>43</v>
      </c>
      <c r="D61" s="5"/>
      <c r="F61" s="5"/>
      <c r="G61" s="5"/>
      <c r="H61" s="5"/>
    </row>
    <row r="62" spans="1:12" ht="102" x14ac:dyDescent="0.2">
      <c r="A62" s="1" t="s">
        <v>36</v>
      </c>
      <c r="B62" s="5"/>
      <c r="C62" s="14" t="s">
        <v>42</v>
      </c>
      <c r="D62" s="6" t="s">
        <v>57</v>
      </c>
      <c r="F62" s="5"/>
      <c r="G62" s="5"/>
      <c r="H62" s="5"/>
    </row>
    <row r="63" spans="1:12" ht="17" x14ac:dyDescent="0.2">
      <c r="A63" s="3" t="s">
        <v>6</v>
      </c>
      <c r="B63" s="7">
        <v>18</v>
      </c>
      <c r="C63" s="7">
        <f>B63/338</f>
        <v>5.3254437869822487E-2</v>
      </c>
      <c r="D63" s="7">
        <v>0.78125</v>
      </c>
      <c r="F63" s="7">
        <v>14</v>
      </c>
      <c r="G63" s="7">
        <f>F63/132</f>
        <v>0.10606060606060606</v>
      </c>
      <c r="H63" s="7">
        <v>1.25</v>
      </c>
    </row>
    <row r="64" spans="1:12" ht="17" x14ac:dyDescent="0.2">
      <c r="A64" s="3" t="s">
        <v>2</v>
      </c>
      <c r="B64" s="7">
        <v>13</v>
      </c>
      <c r="C64" s="7">
        <f>B64/281</f>
        <v>4.6263345195729534E-2</v>
      </c>
      <c r="D64" s="7">
        <v>0.72</v>
      </c>
      <c r="F64" s="7">
        <v>11</v>
      </c>
      <c r="G64" s="7">
        <f>F64/105</f>
        <v>0.10476190476190476</v>
      </c>
      <c r="H64" s="7">
        <v>1.1538459999999999</v>
      </c>
    </row>
    <row r="65" spans="1:9" ht="17" x14ac:dyDescent="0.2">
      <c r="A65" s="3" t="s">
        <v>3</v>
      </c>
      <c r="B65" s="7">
        <v>2</v>
      </c>
      <c r="C65" s="7">
        <f>B65/178</f>
        <v>1.1235955056179775E-2</v>
      </c>
      <c r="D65" s="7">
        <v>0.42857139999999999</v>
      </c>
      <c r="F65" s="7">
        <v>1</v>
      </c>
      <c r="G65" s="7">
        <f>F65/64</f>
        <v>1.5625E-2</v>
      </c>
      <c r="H65" s="7">
        <v>2</v>
      </c>
      <c r="I65" t="s">
        <v>58</v>
      </c>
    </row>
    <row r="66" spans="1:9" ht="17" x14ac:dyDescent="0.2">
      <c r="A66" s="3" t="s">
        <v>4</v>
      </c>
      <c r="B66" s="7">
        <v>3</v>
      </c>
      <c r="C66" s="7">
        <f>B66/116</f>
        <v>2.5862068965517241E-2</v>
      </c>
      <c r="D66" s="7">
        <v>0.57142859999999995</v>
      </c>
      <c r="F66" s="7">
        <v>2</v>
      </c>
      <c r="G66" s="7">
        <f>F66/48</f>
        <v>4.1666666666666664E-2</v>
      </c>
      <c r="H66" s="7">
        <v>1.5</v>
      </c>
    </row>
    <row r="67" spans="1:9" ht="17" x14ac:dyDescent="0.2">
      <c r="A67" s="3" t="s">
        <v>5</v>
      </c>
      <c r="B67" s="7">
        <v>0</v>
      </c>
      <c r="C67" s="7">
        <f>B67/33</f>
        <v>0</v>
      </c>
      <c r="D67" s="7">
        <v>0</v>
      </c>
      <c r="F67" s="7">
        <v>0</v>
      </c>
      <c r="G67" s="7">
        <f>F67/13</f>
        <v>0</v>
      </c>
      <c r="H67" s="7" t="s">
        <v>9</v>
      </c>
    </row>
    <row r="68" spans="1:9" x14ac:dyDescent="0.2">
      <c r="A68" s="2"/>
      <c r="B68" s="5"/>
      <c r="C68" s="14" t="s">
        <v>43</v>
      </c>
      <c r="D68" s="5"/>
      <c r="F68" s="5"/>
      <c r="G68" s="5"/>
      <c r="H68" s="5"/>
    </row>
    <row r="69" spans="1:9" ht="34" x14ac:dyDescent="0.2">
      <c r="A69" s="1" t="s">
        <v>37</v>
      </c>
      <c r="B69" s="5"/>
      <c r="C69" s="14" t="s">
        <v>42</v>
      </c>
      <c r="D69" s="5"/>
      <c r="F69" s="5"/>
      <c r="G69" s="5"/>
      <c r="H69" s="5"/>
    </row>
    <row r="70" spans="1:9" ht="17" x14ac:dyDescent="0.2">
      <c r="A70" s="3" t="s">
        <v>6</v>
      </c>
      <c r="B70" s="7">
        <v>6</v>
      </c>
      <c r="C70" s="7">
        <f>B70/338</f>
        <v>1.7751479289940829E-2</v>
      </c>
      <c r="D70" s="7">
        <v>0.53846150000000004</v>
      </c>
      <c r="F70" s="7">
        <v>6</v>
      </c>
      <c r="G70" s="7">
        <f>F70/132</f>
        <v>4.5454545454545456E-2</v>
      </c>
      <c r="H70" s="7">
        <v>1</v>
      </c>
    </row>
    <row r="71" spans="1:9" ht="17" x14ac:dyDescent="0.2">
      <c r="A71" s="3" t="s">
        <v>2</v>
      </c>
      <c r="B71" s="7">
        <v>4</v>
      </c>
      <c r="C71" s="7">
        <f>B71/281</f>
        <v>1.4234875444839857E-2</v>
      </c>
      <c r="D71" s="7">
        <v>0.36363640000000003</v>
      </c>
      <c r="F71" s="7">
        <v>4</v>
      </c>
      <c r="G71" s="7">
        <f>F71/105</f>
        <v>3.8095238095238099E-2</v>
      </c>
      <c r="H71" s="7">
        <v>0.8</v>
      </c>
    </row>
    <row r="72" spans="1:9" ht="17" x14ac:dyDescent="0.2">
      <c r="A72" s="3" t="s">
        <v>3</v>
      </c>
      <c r="B72" s="7">
        <v>1</v>
      </c>
      <c r="C72" s="7">
        <f>B72/178</f>
        <v>5.6179775280898875E-3</v>
      </c>
      <c r="D72" s="7">
        <v>0.3333333</v>
      </c>
      <c r="F72" s="7">
        <v>1</v>
      </c>
      <c r="G72" s="7">
        <f>F72/64</f>
        <v>1.5625E-2</v>
      </c>
      <c r="H72" s="7">
        <v>1</v>
      </c>
    </row>
    <row r="73" spans="1:9" ht="17" x14ac:dyDescent="0.2">
      <c r="A73" s="3" t="s">
        <v>4</v>
      </c>
      <c r="B73" s="7">
        <v>1</v>
      </c>
      <c r="C73" s="7">
        <f>B73/116</f>
        <v>8.6206896551724137E-3</v>
      </c>
      <c r="D73" s="7">
        <v>0.5</v>
      </c>
      <c r="F73" s="7">
        <v>1</v>
      </c>
      <c r="G73" s="7">
        <f>F73/48</f>
        <v>2.0833333333333332E-2</v>
      </c>
      <c r="H73" s="7">
        <v>2</v>
      </c>
    </row>
    <row r="74" spans="1:9" ht="17" x14ac:dyDescent="0.2">
      <c r="A74" s="3" t="s">
        <v>5</v>
      </c>
      <c r="B74" s="7">
        <v>0</v>
      </c>
      <c r="C74" s="7">
        <f>B74/33</f>
        <v>0</v>
      </c>
      <c r="D74" s="7" t="s">
        <v>9</v>
      </c>
      <c r="F74" s="7">
        <v>0</v>
      </c>
      <c r="G74" s="7">
        <f>F74/13</f>
        <v>0</v>
      </c>
      <c r="H74" s="7" t="s">
        <v>9</v>
      </c>
    </row>
    <row r="77" spans="1:9" x14ac:dyDescent="0.2">
      <c r="D77" s="8" t="s">
        <v>45</v>
      </c>
    </row>
  </sheetData>
  <mergeCells count="3">
    <mergeCell ref="B2:D2"/>
    <mergeCell ref="F2:H2"/>
    <mergeCell ref="A1:H1"/>
  </mergeCells>
  <pageMargins left="0.7" right="0.7" top="0.75" bottom="0.75" header="0.3" footer="0.3"/>
  <ignoredErrors>
    <ignoredError sqref="J50" formula="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Arian Wallach</dc:creator>
  <cp:lastModifiedBy>Erick Lundgren</cp:lastModifiedBy>
  <dcterms:created xsi:type="dcterms:W3CDTF">2024-11-09T04:10:17Z</dcterms:created>
  <dcterms:modified xsi:type="dcterms:W3CDTF">2024-11-24T14:57:54Z</dcterms:modified>
</cp:coreProperties>
</file>