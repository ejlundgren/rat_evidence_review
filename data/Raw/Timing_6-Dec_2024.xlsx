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AF70932E-DE10-B34B-9B4C-8D88D4D3C918}" xr6:coauthVersionLast="47" xr6:coauthVersionMax="47" xr10:uidLastSave="{00000000-0000-0000-0000-000000000000}"/>
  <bookViews>
    <workbookView xWindow="0" yWindow="500" windowWidth="28780" windowHeight="15860" xr2:uid="{00000000-000D-0000-FFFF-FFFF00000000}"/>
  </bookViews>
  <sheets>
    <sheet name="Timelin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83" i="1" l="1"/>
  <c r="AL83" i="1" s="1"/>
  <c r="AJ83" i="1"/>
  <c r="AK83" i="1" s="1"/>
  <c r="AH180" i="1"/>
  <c r="AH179" i="1"/>
  <c r="AG180" i="1"/>
  <c r="AJ180" i="1" s="1"/>
  <c r="AG179" i="1"/>
  <c r="AJ179" i="1" s="1"/>
  <c r="AF180" i="1"/>
  <c r="AE180" i="1"/>
  <c r="AI180" i="1" s="1"/>
  <c r="AF179" i="1"/>
  <c r="AE179" i="1"/>
  <c r="AI179" i="1" s="1"/>
  <c r="AJ143" i="1"/>
  <c r="AI143" i="1"/>
</calcChain>
</file>

<file path=xl/sharedStrings.xml><?xml version="1.0" encoding="utf-8"?>
<sst xmlns="http://schemas.openxmlformats.org/spreadsheetml/2006/main" count="3644" uniqueCount="558">
  <si>
    <t>assessmentId</t>
  </si>
  <si>
    <t>internalTaxonId</t>
  </si>
  <si>
    <t>scientificName</t>
  </si>
  <si>
    <t>Common_name</t>
  </si>
  <si>
    <t>Synonyms_or_previous_lump</t>
  </si>
  <si>
    <t>redlistCategory</t>
  </si>
  <si>
    <t>Rodent_attributed_IUCN</t>
  </si>
  <si>
    <t>Rodent_species</t>
  </si>
  <si>
    <t>Rodent_species_attributed</t>
  </si>
  <si>
    <t>Extinction_extirpation</t>
  </si>
  <si>
    <t>Location</t>
  </si>
  <si>
    <t>Latitude_Extinct</t>
  </si>
  <si>
    <t>Longitude_Extinct</t>
  </si>
  <si>
    <t>Bird_extirpation_year_earliest</t>
  </si>
  <si>
    <t>Bird_extirpation_year_earliest_Time_frame</t>
  </si>
  <si>
    <t>Bird_extirpation_year_latest</t>
  </si>
  <si>
    <t>Bird_extirpation_year_latest_Time_frame</t>
  </si>
  <si>
    <t>Bird_extinction_timing_reference</t>
  </si>
  <si>
    <t>Bird_quote</t>
  </si>
  <si>
    <t>Bird_comment</t>
  </si>
  <si>
    <t>Rodent_Arrival_Location</t>
  </si>
  <si>
    <t>Latitude_Arrival</t>
  </si>
  <si>
    <t>Longitude_Arrival</t>
  </si>
  <si>
    <t>Rodent_arrival_year_earliest</t>
  </si>
  <si>
    <t>Rodent_arrival_year_earliest_Time_frame</t>
  </si>
  <si>
    <t>Rodent_arrival_year_latest</t>
  </si>
  <si>
    <t>Rodent_arrival_year_latest_Time_frame</t>
  </si>
  <si>
    <t>Rodent_arrival_reference</t>
  </si>
  <si>
    <t>Rodent_quote</t>
  </si>
  <si>
    <t>Rodent_comment</t>
  </si>
  <si>
    <t>min_bird_extinction_year_BP</t>
  </si>
  <si>
    <t>max_bird_extinction_year_BP</t>
  </si>
  <si>
    <t>min_rodent_arrival_year_BP</t>
  </si>
  <si>
    <t>max_rodent_arrival_year_BP</t>
  </si>
  <si>
    <t>min_difference</t>
  </si>
  <si>
    <t>max_difference</t>
  </si>
  <si>
    <t>median_difference</t>
  </si>
  <si>
    <t>range</t>
  </si>
  <si>
    <t>Coturnix novaezelandiae</t>
  </si>
  <si>
    <t>New Zealand Quail</t>
  </si>
  <si>
    <t>N/A</t>
  </si>
  <si>
    <t>Extinct</t>
  </si>
  <si>
    <t>Rattus</t>
  </si>
  <si>
    <t>Rattus exulans</t>
  </si>
  <si>
    <t>Extinction</t>
  </si>
  <si>
    <t>New Zealand</t>
  </si>
  <si>
    <t>CE</t>
  </si>
  <si>
    <t>IUCN. 2023. The IUCN Red List of Threatened Species. Version 2023-1.</t>
  </si>
  <si>
    <t>"It was considered fairly common until the mid-19th century, but declined rapidly to extinction by 1875. This species formerly occurred on New Zealand's North, South, and Great Barrier islands, but is now Extinct"</t>
  </si>
  <si>
    <t>No exact location of extinction</t>
  </si>
  <si>
    <t>Holdaway, R.N., 1999. A spatio‐temporal model for the invasion of the New Zealand archipelago by the Pacific rat Rattus exulans. Journal of the Royal Society of New Zealand, 29(2), pp.91-105. Clout, M., 2005. Rodent incursions on New Zealand islands. In Proceedings of the 13th Australasian Vertebrate Pest Conference. Landcare Research (pp. 324-330).</t>
  </si>
  <si>
    <t>"The various lines of evidence point to Pacific rats having established populations on the North and South Island sometime between AD 100 and 150" ,  "In chronological order; the kiore (Rattus exulans, c1200AD)"</t>
  </si>
  <si>
    <t>Different dates are listed, but fossil records seem to indicate these dates, before Polynesian settlement at 1000BP but Clout 2005 states arrival occurred around 1200 AD</t>
  </si>
  <si>
    <t>Extinction at least 500-999 years after arrival</t>
  </si>
  <si>
    <t>Rattus rattus</t>
  </si>
  <si>
    <t>Clout, M., 2005. Rodent incursions on New Zealand islands. In Proceedings of the 13th Australasian Vertebrate Pest Conference. Landcare Research (pp. 324-330).</t>
  </si>
  <si>
    <t>" In chronological order; the kiore (Rattus exulans, c1200AD), the Norway rat (R. norvegicus, c1790), the mouse (Mus musculus, 1824) and the ship rat (R. rattus, c1860) all arrived and rapidly spread across the country"</t>
  </si>
  <si>
    <t>Extinction within 100 years of arrival</t>
  </si>
  <si>
    <t>Rattus norvegicus</t>
  </si>
  <si>
    <t>Mus musculus</t>
  </si>
  <si>
    <t>Mergus australis</t>
  </si>
  <si>
    <t>New Zealand Merganser</t>
  </si>
  <si>
    <t>Auckland Islands, New Zealand</t>
  </si>
  <si>
    <t>IUCN. 2023. The IUCN Red List of Threatened Species. Version 2023-1. Kear, J.; Scarlett, R. J. 1970. The Auckland Islands Merganser. Wildfowl 21: 78-86.</t>
  </si>
  <si>
    <t>"This species was formerly found on the Auckland Islands, New Zealand, but it is now Extinct, primarily due to hunting. It was last recorded in 1902, and had been lost by the time a reserve was set up on the islands in 1910." "However, the Merganser’s last refuge, Adams Island, which has an area of 35 sq. miles and borders Carnley Harbour on the harbour’s southern side, has always been uninhabited"</t>
  </si>
  <si>
    <t>Kear, J.; Scarlett, R. J. 1970. The Auckland Islands Merganser. Wildfowl 21: 78-86.</t>
  </si>
  <si>
    <t>"The Auckland Islands were discovered on 18th August 1806 by Captain Abraham Bristow. Mice came ashore with the many wrecks that occurred after sealing and whaling stations were established (Green way 1967). Rats may have beenintroduced in the same way, although they are absent now. There were three shipwrecked parties in the 1860’s alone  "</t>
  </si>
  <si>
    <t>Coua delalandei</t>
  </si>
  <si>
    <t>Snail-eating Coua</t>
  </si>
  <si>
    <t>Ile de Sainte-Marie, Madagascar</t>
  </si>
  <si>
    <t>"Coua delalandei is known from 13 specimens, all apparently collected on Ile de Sainte-Marie (Nosy Boraha), Madagascar, with the most recent from 1834 (Collar and Stuart 1985). Reports from 1930 (WCMC 1992) are unfounded, and it is now considered extinct (Collar et al. 1994). It has not been reported since 1834 and likely succumbed to the complete destruction of its native forest."</t>
  </si>
  <si>
    <t>Madagascar</t>
  </si>
  <si>
    <t>BP</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</si>
  <si>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t>
  </si>
  <si>
    <t>"The Malagasy black rat populations have experienced recent population expansion, and population growth was estimated to have occurred about 3000yr BP. As expected, this value is more recent than the estimated divergence time and is compatible with the date of human arrival in Madagascar, about 2300yr BP. Other east coast populations also have high haplotype diversities (ALA and BRI) and old expansion times (BRI). These data suggest that the first arrival of R.rattus occurred on the east coast of Madagascar, rather than in the Tolagnaro region (south). The arrival of the rat probably pre-dates this period because human settlements were present very early in the east coast (about the 9th century ad)</t>
  </si>
  <si>
    <t>Cheke, A., 2010. The timing of arrival of humans and their commensal animals on Western Indian Ocean oceanic islands. Phelsuma, 18, pp.38-69.</t>
  </si>
  <si>
    <t>"but Norway rats not until the 1730s."</t>
  </si>
  <si>
    <t>Duplantier, JM., Orth, A., Catalan, J. et al. Evidence for a mitochondrial lineage originating from the Arabian peninsula in the Madagascar house mouse (Mus musculus). Heredity 89, 154–158 (2002).</t>
  </si>
  <si>
    <t>"Arabian trading posts were installed on the northern and western coasts between the 8th and 11th century A.D., probable time of arrival of the house mouse on the island"</t>
  </si>
  <si>
    <t>Columba versicolor</t>
  </si>
  <si>
    <t>Bonin Woodpigeon</t>
  </si>
  <si>
    <t>Ogasawara Islands, Japan</t>
  </si>
  <si>
    <t>"This species was found in Japan's Ogasawara Islands, but it has not been recorded since 1889 and is now Extinct. It is known from four specimens, in Frankfurt, Leningrad and Tring (Brazil 1991) and was last recorded in 1889</t>
  </si>
  <si>
    <t>Ogasawara Island</t>
  </si>
  <si>
    <t>Yabe, T., Horikoshi, K. and Hashimoto, T., 2017. Small Mass of Rattus norvegicus (Rodentia: Muridae) on the Ogasawara Islands, Japan1. Pacific Science, 71(3), pp.257-268.</t>
  </si>
  <si>
    <t>"Black rats are thought to have invaded the Ogasawara Islands early in the twentieth century "</t>
  </si>
  <si>
    <t>Extinction before arrival</t>
  </si>
  <si>
    <t>"This species was found in Japan's Ogasawara Islands, but it has not been recorded since 1889 and is now Extinct. It is known from four specimens, in Frankfurt, Leningrad and Tring (Brazil 1991) and was last recorded in 1890</t>
  </si>
  <si>
    <t>"Norway rats, along with house mice, invaded the Ogasawara Islands during the Edo era (1603–1868) from the Japanese mainland, Europe, or America"</t>
  </si>
  <si>
    <t>"This species was found in Japan's Ogasawara Islands, but it has not been recorded since 1889 and is now Extinct. It is known from four specimens, in Frankfurt, Leningrad and Tring (Brazil 1991) and was last recorded in 1891</t>
  </si>
  <si>
    <t>"Norway rats, along with house mice, invaded the Ogasawara Islands during the Edo era (1603–1868) from the Japanese mainland, Europe, or America</t>
  </si>
  <si>
    <t>Pampusana salamonis</t>
  </si>
  <si>
    <t>Thick-billed Ground-dove</t>
  </si>
  <si>
    <t>Alopecoenas salamonis, Gallicolumba salamonis</t>
  </si>
  <si>
    <t>Makira, Solomon Islands</t>
  </si>
  <si>
    <t>"This species was known from Makira, Solomon Islands, but is now Extinct. The last record is a specimen dating from 1927, and searches in 1995 and more recently failed to find it."</t>
  </si>
  <si>
    <t>Santa Isabel, Solomon islands</t>
  </si>
  <si>
    <t>Luu, S., Radclyffe, C.J., Hamilton, R.J., Walter, R. and Matisoo-Smith, E., 2022. Back on the Rat Trail: Analyses of ancient mitochondrial genomes of Rattus exulans from the Western Solomons. Journal of Archaeological Science: Reports, 45, p.103586.</t>
  </si>
  <si>
    <t>"R. exulans were introduced during Lapita movements through the islands, as supported by zooarchaeological evidence of R. exulans in the Reef-Santa Cruz Islands (Green, 1976). The earliest known archaeological sites in the Western Solomons date to the late Lapita period, c.2700 cal. BP. The earliest occupation on Choiseul and Santa Isabel dates to at least 2300–2150 cal. BP and 1880–1610 cal. BP respectively"</t>
  </si>
  <si>
    <t>Extinction at least 1,000 years after arrival</t>
  </si>
  <si>
    <t>Vulolo, Solomon Islands</t>
  </si>
  <si>
    <t>Matisoo-Smith, E., Hingston, M., Summerhayes, G., Robins, J., Ross, H.A. and Hendy, M., 2009. On the Rat Trail in Near Oceania: Applying the Commensal Model to the Question of the Lapita Colonization1. Pacific Science, 63(4), pp.465-475.</t>
  </si>
  <si>
    <t>"brought in by European vessels from the 1700s onward, the rats introduced by these same historic vessels, Rattus rattus and Rattus norvegicus"</t>
  </si>
  <si>
    <t>Extinction at least 100-499 years after arrival</t>
  </si>
  <si>
    <t>Ptilinopus mercierii</t>
  </si>
  <si>
    <t>Red-moustached Fruit-dove</t>
  </si>
  <si>
    <t>Hiva Oa, French polynesia</t>
  </si>
  <si>
    <t>"This species was found in the Marquesas, French Polynesia, but it is now Extinct due to the action of introduced predators. The last record was of the subspecies tristrami on Hiva Oa, in 1922. Ptilinopus mercierii was endemic to the Marquesas, French Polynesia, with the nominate subspecies on Nuku Hiva and subspecies tristrami on Hiva Oa. While the former is known from a single specimen collected in 1849 in the Valley of Mohana, Nuka Hiva (Hume 2017), the latter is known from at least 11 specimens, the last collected by the Whitney Expedition in 1922"</t>
  </si>
  <si>
    <t>Marquesas, French Polynesia</t>
  </si>
  <si>
    <t>Rolett, B.V. and Rollet, B.V., 1992. Faunal extinctions and depletions linked with prehistory and environmental change in the Marquesas Islands (French Polynesia). The Journal of the Polynesian Society, 101(1), pp.86-94.</t>
  </si>
  <si>
    <t>"small group of seafarers, generally believed to have left a homeland in West Polynesia, settled the Marquesas about 2,000 years ago (Suggs 1961, Sinoto 1970). The settlers carried with them and successfully introduced domestic pigs (Sus scrofa), dogs (Canis familiaris), rats (Rattus exulans),"</t>
  </si>
  <si>
    <t>"While the former is known from a single specimen collected in 1849 in the Valley of Mohana, Nuka Hiva (Hume 2017), the latter is known from at least 11 specimens, the last collected by the Whitney Expedition in 1922"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</si>
  <si>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</si>
  <si>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"European period, starting in the 18th century are commonly attributed to a combination of habitat destruction or modification, hunting, and predation by a set of introduced animals such as rats", "Then Mendana found the Marquesas in 1595. Europeans introduced goats, sheep, cattle, horses, rabbits and domestic cats, as well as, unintentionally, roof rats Rattus rattus, brown rats Rattus norvegicus and house mice Mus musculus.</t>
  </si>
  <si>
    <t>both Reference for r.rattus, r.norvegicus and m.musculus are used to get time period of introduction</t>
  </si>
  <si>
    <t>Meyer, J.Y. and Butaud, J.F., 2009. The impacts of rats on the endangered native flora of French Polynesia (Pacific Islands): drivers of plant extinction or coup de grâce species?. Biological Invasions, 11, pp.1569-1585. ,Seitre, J., 1992. Causes of land-bird extinctions in French Polynesia. Oryx, 26(4), pp.215-222.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</si>
  <si>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t>
  </si>
  <si>
    <t>Nuka Hiva, French polynesia</t>
  </si>
  <si>
    <t>"This species was found in the Marquesas, French Polynesia, but it is now Extinct due to the action of introduced predators. The last record was of the subspecies tristrami on Hiva Oa, in 1922. While the former is known from a single specimen collected in 1849 in the Valley of Mohana, Nuka Hiva (Hume 2017), the latter is known from at least 11 specimens, the last collected by the Whitney Expedition in 1922"</t>
  </si>
  <si>
    <t>Hypotaenidia pacifica</t>
  </si>
  <si>
    <t>Tahiti Rail</t>
  </si>
  <si>
    <t>Gallirallus pacificus</t>
  </si>
  <si>
    <t>Tahiti, French Polynesia</t>
  </si>
  <si>
    <t>"It was abundant on Tahiti in 1844 but had disappeared by the end of the century, surviving on Mehetia where there were records until the the 1930s."</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</si>
  <si>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</si>
  <si>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"Bones of Pacific rats were found in rock shelter excavations in Tahiti dated 580±60BP" "Table 1: Society Is, R. exulans, Presence and time of earliest known settlement = Present, AD600"</t>
  </si>
  <si>
    <t>2 REFERENCES</t>
  </si>
  <si>
    <t>"Black rats Rattus rattus and Norway rats Rattus norvegicus arrived with Europeans, who first landed in Tahiti in 1768." "Table 1: Society Is, R.rattus, Time of introduction = pre-1920"</t>
  </si>
  <si>
    <t>Extinction before or after arrival</t>
  </si>
  <si>
    <t>"Black rats Rattus rattus and Norway rats Rattus norvegicus arrived with Europeans, who first landed in Tahiti in 1768." "Table 1: Society Is, R.norvegicus, Time of introduction = 1767-1921"</t>
  </si>
  <si>
    <t>Meheti'a, French Polynesia</t>
  </si>
  <si>
    <t>Hypotaenidia dieffenbachii</t>
  </si>
  <si>
    <t>Dieffenbach's Rail</t>
  </si>
  <si>
    <t>Gallirallus dieffenbachii</t>
  </si>
  <si>
    <t>Chatham Islands, Newzealand</t>
  </si>
  <si>
    <t>"This species was found on the Chatham Islands, New Zealand, but was driven to extinction by the depredations of introduced species. It has not been seen since 1840."</t>
  </si>
  <si>
    <t>Holdaway, R.N., 1999. A spatio‐temporal model for the invasion of the New Zealand archipelago by the Pacific rat Rattus exulans. Journal of the Royal Society of New Zealand, 29(2), pp.91-105.</t>
  </si>
  <si>
    <t>"Chatham Island was not colonised by Pacific rats until about 650 years B P"</t>
  </si>
  <si>
    <t>"Table 1: Continued. Chatham Is, R. norvegicus Time of introduction = Pre-1870"</t>
  </si>
  <si>
    <t>"Table 1: Continued. Chatham Is, R. rattus Time of introduction = Pre-1978"</t>
  </si>
  <si>
    <t>Zapornia palmeri</t>
  </si>
  <si>
    <t>Laysan Rail</t>
  </si>
  <si>
    <t>Porzana palmeri</t>
  </si>
  <si>
    <t>Laysan Island, Hawaii</t>
  </si>
  <si>
    <t>"Zapornia palmeri was found on Laysan Island, Hawai'i, U.S.A. (Baldwin 1947), from where it became extinct between 1923 and 1936"</t>
  </si>
  <si>
    <t>"Within the many island groups that have commensal rats there remain smaller islands of high biological value that are rat-free. Examples are... Nihoa and Laysan Islands in the Hawaiian group"</t>
  </si>
  <si>
    <t>Laysan island is rat-free and no record of rat arrival</t>
  </si>
  <si>
    <t>Eastern Island, Hawaii</t>
  </si>
  <si>
    <t>"This species was found in the Northwestern Hawaiian Islands, USA, but is now Extinct. The last population, which had been introduced to Eastern Island, was exterminated by introduced rats in 1944. Birds were introduced to Eastern and Sand Islands in the Midway Atoll, with failed re-introductions also reportedly attempted to Lisianski, Laysan and to the main Hawaiian group (Taylor and van Perlo 1998). It became extinct on Sand Island in 1943 and Eastern Island in 1944 (Baldwin 1945)."</t>
  </si>
  <si>
    <t>Midway Atoll</t>
  </si>
  <si>
    <t>"In 1943 R. rattus came ashore with cargo at the military base on Midway Island"</t>
  </si>
  <si>
    <t>Sand Island, Hawaii</t>
  </si>
  <si>
    <t>Zapornia sandwichensis</t>
  </si>
  <si>
    <t>Hawaiian Rail</t>
  </si>
  <si>
    <t>Porzana sandwichensis</t>
  </si>
  <si>
    <t>Hawaiian Islands</t>
  </si>
  <si>
    <t>"This species was found in the Hawaiian Islands, USA, but became extinct in the 1860s likely as a result of introduced predators. The last specimen was taken in 1864."</t>
  </si>
  <si>
    <t>Howarth, F.G. and Stone, F.D., 2020. Impacts of invasive rats on Hawaiian cave resources. International Journal of Speleology, 49(1), p.5.</t>
  </si>
  <si>
    <t>"the Polynesian rat (Rattus exulans) was introduced to Hawai‘i circa 800 years ago by the early Polynesian voyagers"</t>
  </si>
  <si>
    <t>"roof rat (Rattus rattus) established in the 1870s "</t>
  </si>
  <si>
    <t>Some references state R. rattus arrival as late as 1840</t>
  </si>
  <si>
    <t>"the house mouse (Mus musculus) and brown rat (Rattus norvegicus) were introduced post 1778; i.e., shortly after western contact"</t>
  </si>
  <si>
    <t>Zapornia monasa</t>
  </si>
  <si>
    <t>Kosrae Crake</t>
  </si>
  <si>
    <t>Porzana monasa</t>
  </si>
  <si>
    <t>Kosrae, Micronesia</t>
  </si>
  <si>
    <t>"The only records come from 1827-1828 and it is thought to have been driven Extinct by introduced predators in the subsequent 50 years."</t>
  </si>
  <si>
    <t>Nan Madol, Pohnpei, Micronesia</t>
  </si>
  <si>
    <t>Wickler, S., 2004. Modelling colonisation and migration in Micronesia from a zooarchaeological perspective. Colonisation, migration, and marginal areas: A zooarchaeological approach, pp.28-40.</t>
  </si>
  <si>
    <t>"The presence of prehistoric Pacific rat on the Outlier atolls has been confirmed by mtDNA analysis (Matisoo-Smith pers. comm.). Remains of this species also appear to be present in prehistoric deposits from Palau and Kosrae but this has yet to be confirmed. R. exulans documented by 1400 AD at the Nan Madol site on main island"</t>
  </si>
  <si>
    <t>R.exulans deposited across archipelago but not possible to confirm contact prior western contact</t>
  </si>
  <si>
    <t>Prosobonia leucoptera</t>
  </si>
  <si>
    <t>Tahiti Sandpiper</t>
  </si>
  <si>
    <t>"This species was known from Tahiti, French Polynesia, but it has not been recorded since a specimen was collected in 1777, and is now Extinct."</t>
  </si>
  <si>
    <t>Moho braccatus</t>
  </si>
  <si>
    <t>Kauai Oo</t>
  </si>
  <si>
    <t>Kaua'i, Hawaii</t>
  </si>
  <si>
    <t>"This species was known from the Hawaiian island of Kaua'i, USA, but it is now Extinct having been last seen in 1985 with one possible recording in 1987."</t>
  </si>
  <si>
    <t>Burney, D.A., James, H.F., Burney, L.P., Olson, S.L., Kikuchi, W., Wagner, W.L., Burney, M., McCloskey, D., Kikuchi, D., Grady, F.V. and Gage, R., 2001. Fossil evidence for a diverse biota from Kaua ‘i and its transformation since human arrival. Ecological Monographs, 71(4), pp.615-641.</t>
  </si>
  <si>
    <t>"Coring and excavations in a large sinkhole and cave system formed in an eolianite deposit on the south coast of Kaua‘i in the Hawaiian Islands… demonstrate a high-density human presence near the site for the last four centuries. Earlier evidence for humans includes a bone of the prehistorically introduced Pacific rat (Rattus exulans) dating to 822 yr BP (calendar year [cal yr] AD 1039–1241)."</t>
  </si>
  <si>
    <t>Moho bishopi</t>
  </si>
  <si>
    <t>Bishop's Oo</t>
  </si>
  <si>
    <t>Moloka'i, Hawaiian Islands</t>
  </si>
  <si>
    <t>"This species was formerly found in the Hawaiian Islands, USA, but there have been no confirmed records since 1904 and is now considered Extinct. It was last recorded on Moloka'i in 1904 by Munro (1944), who received local reports of its survival until 1915, but could find no more birds despite numerous further searches up until 1949."</t>
  </si>
  <si>
    <t>"This species was formerly found in the Hawaiian Islands, USA, but there have been no confirmed records since 1904 and is now considered Extinct."</t>
  </si>
  <si>
    <t>Gerygone insularis</t>
  </si>
  <si>
    <t>Lord Howe Gerygone</t>
  </si>
  <si>
    <t>Lord Howe Island, Australia</t>
  </si>
  <si>
    <t>Billing, J. and Harden, B., 2000. Control of introduced Rattus rattus L. on Lord Howe Island. I. The response of mouse populations to warfarin bait used to control rats. Wildlife Research, 27(6), pp.655-658.</t>
  </si>
  <si>
    <t>"The black rat (Rattus rattus L.) was inadvertently introduced to Lord Howe Island after a shipwreck in 1918 and quickly became widespread and abundant"</t>
  </si>
  <si>
    <t>Harper, G.A., Pahor, S. and Birch, D., 2020. The Lord Howe Island rodent eradication: lessons learnt from an inhabited island. In Proceedings of the vertebrate pest conference (Vol. 29, No. 29).</t>
  </si>
  <si>
    <t>"with mice (Mus musculus) arriving about the 1860s"</t>
  </si>
  <si>
    <t>Turnagra capensis</t>
  </si>
  <si>
    <t>South Island Piopio</t>
  </si>
  <si>
    <t>South Island, New Zealand</t>
  </si>
  <si>
    <t>"This species is known from New Zealand's South Island, but is now Extinct as a result predation and habitat destruction. The last confirmed record was of the nominate subspecies, in 1905."</t>
  </si>
  <si>
    <t>Holdaway, R.N., 1999. A spatio‐temporal model for the invasion of the New Zealand archipelago by the Pacific rat Rattus exulans. Journal of the Royal Society of New Zealand, 29(2), pp.91-105. , Clout, M., 2005. Rodent incursions on New Zealand islands. In Proceedings of the 13th Australasian Vertebrate Pest Conference. Landcare Research (pp. 324-330).</t>
  </si>
  <si>
    <t>"The various lines of evidence point to Pacific rats having established populations on theNorth and South Island sometime between AD 100 and 150", "In chronological order; the kiore (Rattus exulans, c1200AD)"</t>
  </si>
  <si>
    <t>Different dates are listed, but fossil records seem to indicate these dates, before Polynesian settlement at 1000BP and Clout 2005 stated 1200 AD</t>
  </si>
  <si>
    <t>Corvus hawaiiensis</t>
  </si>
  <si>
    <t>Hawaiian Crow</t>
  </si>
  <si>
    <t>Extinct in the Wild</t>
  </si>
  <si>
    <t>Extirpation</t>
  </si>
  <si>
    <t>"The last two known wild individuals of this species disappeared in 2002, so the species is now classified as Extinct in the Wild. Some individuals remain in captive breeding facilities and a reintroduction plan is being developed."</t>
  </si>
  <si>
    <t>Zoothera terrestris</t>
  </si>
  <si>
    <t>Bonin Thrush</t>
  </si>
  <si>
    <t>"This species was formerly found in Japan's Ogasawara Islands, but is now Extinct likely due to overpredation by introduced mammals. Specimens were collected in 1828, but the next ornithological visit to the islands in 1889 did not locate the species."</t>
  </si>
  <si>
    <t>"Specimens were collected in 1828, but the next ornithological visit to the islands in 1889 did not locate the species.</t>
  </si>
  <si>
    <t>Aplonis corvina</t>
  </si>
  <si>
    <t>Kosrae Starling</t>
  </si>
  <si>
    <t>"The last specimens were taken in 1827, and it was absent when the island was next visited in 1880."</t>
  </si>
  <si>
    <t>Aplonis mavornata</t>
  </si>
  <si>
    <t>Mysterious Starling</t>
  </si>
  <si>
    <t>Mauke, Cook Islands</t>
  </si>
  <si>
    <t>" The type specimen was taken in 1825, and the species was not found on the next ornithological visit to Mauke in 1975."</t>
  </si>
  <si>
    <t>Rarotonga, Cook Island</t>
  </si>
  <si>
    <t>Atkinson, I.A. and Atkinson, T.J., 2000. Land vertebrates as invasive species on islands served by the South Pacific Regional Environment Programme. Invasive Species in the Pacific: A Technical Review and Draft Regional Strategy. South Pacific Regional Environment Programme, Samoa, pp.19-84.</t>
  </si>
  <si>
    <t>"Norway rats do not appear to have reached the Pacific islands until the 19th century"</t>
  </si>
  <si>
    <t>very unclear as to when exactly the rat species was introduced</t>
  </si>
  <si>
    <t>Aplonis fusca</t>
  </si>
  <si>
    <t>Tasman Starling</t>
  </si>
  <si>
    <t>Aplornis fusca ssp. Fusca</t>
  </si>
  <si>
    <t>Norfolk Island, Australia</t>
  </si>
  <si>
    <t>"The nominate subspecies on Norfolk Island was last recorded in 1923 (Garnett 1992), although its absence was not noted until 1968</t>
  </si>
  <si>
    <t>Thomsen, S.B.K., Isles of the Tasman Sea–Part II: Norfolk Island.</t>
  </si>
  <si>
    <t>"It is unclear when Black Rats (Rattus rattus) arrived on Norfolk Island but arrive they did. Cats (Felis catus) arrived on the island sometime before 1795 (10) and by 1795 were plentiful enough to heavily curb the local population of rats  Mice (Mus musculus), Black Rats (Rattus rattus), chickens (Gallus domesticus) and feral pigeons (Columba livia) were also abundant on the island during the time of recolonization in 1825"</t>
  </si>
  <si>
    <t>Couldn't find exact date of arrival anywhere, but speculated around human arrival to the island</t>
  </si>
  <si>
    <t>"On Lord Howe Island, the population of subspecies hulliana tumbled to extinction from numbering thousands in 1913-1915 - it was not seen after 1918 and was certainly extinct by 1928</t>
  </si>
  <si>
    <t>Zosterops strenuus</t>
  </si>
  <si>
    <t>Robust White-eye</t>
  </si>
  <si>
    <t>"It was last recorded in 1908, and not found on a survey in 1928."</t>
  </si>
  <si>
    <t>Nesillas aldabrana</t>
  </si>
  <si>
    <t>Aldabra Brush-warbler</t>
  </si>
  <si>
    <t>Aldabra, Seychelles</t>
  </si>
  <si>
    <t>"It was last recorded in 1983, and searches in 1986 confirmed its extinction.</t>
  </si>
  <si>
    <t>Picard, Aldabra, Seychelles</t>
  </si>
  <si>
    <t>"Ship rats were abundant (at least on Picard) in 1890 (Spurs 1892), and were ‘spread over the whole atoll’ by 1908</t>
  </si>
  <si>
    <t>Ciridops anna</t>
  </si>
  <si>
    <t>Ula-ai-hawane</t>
  </si>
  <si>
    <t>"The last confirmed records date from 1892."</t>
  </si>
  <si>
    <t>Drepanis funerea</t>
  </si>
  <si>
    <t>Black Mamo</t>
  </si>
  <si>
    <t>Moloka'i Hawaiian Islands</t>
  </si>
  <si>
    <t>"This species is known from the Hawaiian island of Moloka`i, USA, but it has not been recorded since 1907 and is now Extinct."</t>
  </si>
  <si>
    <t>Coenocorypha iredalei</t>
  </si>
  <si>
    <t>South Island Snipe</t>
  </si>
  <si>
    <t>Coenocorypha aucklandica</t>
  </si>
  <si>
    <t>Rattus rattus, Rattus exulans</t>
  </si>
  <si>
    <t>Stewart Island, Newzealand</t>
  </si>
  <si>
    <t>"This species has been extirpated from its historic range by introduced mammalian predators; it was last recorded in 1964 and is classified as Extinct."</t>
  </si>
  <si>
    <t>Harper, G.A., Dickinson, K.J. and Seddon, P.J., 2005. Habitat use by three rat species (Rattus spp.) on Stewart Island/Rakiura, New Zealand. New Zealand Journal of Ecology, pp.251-260.</t>
  </si>
  <si>
    <t>"Pacific rats, the smallest species, were possibly introduced to Stewart Island about 1600 AD"</t>
  </si>
  <si>
    <t>"The largest rat, R. norvegicus, probably arrived on the island with the first Europeans about 1790—1800"</t>
  </si>
  <si>
    <t>"Ship rats became established about 1890"</t>
  </si>
  <si>
    <t>Mundia elpenor</t>
  </si>
  <si>
    <t>Ascension Crake</t>
  </si>
  <si>
    <t>Atlantisia elpenor</t>
  </si>
  <si>
    <t>St Helena, Ascension Island</t>
  </si>
  <si>
    <t>Key, G. and Hudson, R., 2000. The rat control program on the island of St. Helena. In Proceedings of the Vertebrate Pest Conference (Vol. 19, No. 19).</t>
  </si>
  <si>
    <t>"The brown or Norwegian rat is considered to have arrived around 200 years later and by 1732 bolh species were found in most parts of the island"</t>
  </si>
  <si>
    <t>Gallinula nesiotis</t>
  </si>
  <si>
    <t>Tristan Moorhen</t>
  </si>
  <si>
    <t>Gallinula comeri</t>
  </si>
  <si>
    <t>Tristan da Cunha</t>
  </si>
  <si>
    <t>Angel, A. and Cooper, J., 2006. A review of the impacts of introduced rodents on the islands of Tristan da Cunha and Gough. Sandy: Royal Society for the Protection of Birds.</t>
  </si>
  <si>
    <t>"The house mouse was present on Tristan before it was permanently settled in 1811 and was probably accidentally introduced by sealers during the 18th century"</t>
  </si>
  <si>
    <t>Prosobonia ellisi</t>
  </si>
  <si>
    <t>Moorea Sandpiper</t>
  </si>
  <si>
    <t>Moorea, French Polynesia</t>
  </si>
  <si>
    <t>"This species was known from Moorea, French Polynesia, but it has not been recorded since its collection in 1777 and is now Extinct</t>
  </si>
  <si>
    <t>Anthornis melanocephala</t>
  </si>
  <si>
    <t>Chatham Islands Bellbird</t>
  </si>
  <si>
    <t>" It was last recorded in 1906, and a search for it in 1938 was unsuccessful"</t>
  </si>
  <si>
    <t>Turnagra tanagra</t>
  </si>
  <si>
    <t>North Island Piopio</t>
  </si>
  <si>
    <t>North Island, New Zealand</t>
  </si>
  <si>
    <t>"The last confirmed record dates from 1902, and there have been no reports at all since 1970"</t>
  </si>
  <si>
    <t>Cabalus modestus</t>
  </si>
  <si>
    <t>Chatham Islands Rail</t>
  </si>
  <si>
    <t>Gallirallus modestus ssp. Modestus, Rallus modestus ssp. Modestus</t>
  </si>
  <si>
    <t>"This species was known from the Chatham Islands, New Zealand, but the last known specimen was taken between 1895 and 1900."</t>
  </si>
  <si>
    <t>Pomarea fluxa</t>
  </si>
  <si>
    <t>Eiao Monarch</t>
  </si>
  <si>
    <t>Rattus exulans, Rattus rattus</t>
  </si>
  <si>
    <t>Eiao, French Polynesia</t>
  </si>
  <si>
    <t>"It was last recorded in 1977, and subsequent searches have failed to find it. Despite a number of searches in 1987 and since (Thibault and Meyer 2001), it has not been seen since 1977, and is considered to be extinct"</t>
  </si>
  <si>
    <t>Butaud, J.F. and Jacq, F.A., 2013. Flora and vegetation on the small uninhabited islands of the Marquesas archipelago (French Polynesia): Relics of dry biota threatened by biological invasions. Biodiversity and Societies in the Pacific Islands, pp.131-165.</t>
  </si>
  <si>
    <t>"the Pacific rat (Rattus exulans) currently has a relatively low impact on the vegetation of these islands… as it has inhabited them for approximately 1,000 years."</t>
  </si>
  <si>
    <t>"It was last recorded in 1977, and subsequent searches have failed to find it."</t>
  </si>
  <si>
    <t>Pomarea nukuhivae</t>
  </si>
  <si>
    <t>Nuku Hiva Monarch</t>
  </si>
  <si>
    <t>Nuku Hiva, French Polynesia</t>
  </si>
  <si>
    <t>"The last records date from the 1930s; a survey in 1972 failed to locate it."</t>
  </si>
  <si>
    <t>Nuku Hiva is part of the marquesas islands.</t>
  </si>
  <si>
    <t>Doukas, T. and Ziembicki, M., 2022. Conservation status and biology of the Ultramarine Lorikeet Vini ultramarina in the Marquesas Islands, French Polynesia. Bird Conservation International, 32(1), pp.111-126.</t>
  </si>
  <si>
    <t>Coenocorypha barrierensis</t>
  </si>
  <si>
    <t>North Island Snipe</t>
  </si>
  <si>
    <t>"This species was extirpated from its historic range by introduced mammalian predators; it was last recorded in 1870 and is classified as Extinct."</t>
  </si>
  <si>
    <t>Dysmorodrepanis munroi</t>
  </si>
  <si>
    <t>Lanai Hookbill</t>
  </si>
  <si>
    <t>Lana'i Hawaii</t>
  </si>
  <si>
    <t>"This species is known from the Hawaiian island of Lana'i, USA, but it has not been recorded since 1918 and is now Extinct."</t>
  </si>
  <si>
    <t>Carpodacus ferreorostris</t>
  </si>
  <si>
    <t>Bonin Grosbeak</t>
  </si>
  <si>
    <t>Chaunoproctus ferreorostris</t>
  </si>
  <si>
    <t>"This species was known from Japan's Ogasawara Islands, but it is now Extinct and has not been certainly reported since 1828."</t>
  </si>
  <si>
    <t>Acrocephalus musae</t>
  </si>
  <si>
    <t>Forster's Reed-warbler</t>
  </si>
  <si>
    <t>Society Islands, French Polynesia</t>
  </si>
  <si>
    <t>"This species was lost from both islands where it used to occur in the late 1800s or early 1900s and is now Extinct. Went extinct on the islands of Raiatea and Huahine respectively, in the Society Islands, French Polynesia "</t>
  </si>
  <si>
    <t>"This species was lost from both islands where it used to occur in the late 1800s or early 1900s and is now Extinct. "</t>
  </si>
  <si>
    <t>Chenonetta finschi</t>
  </si>
  <si>
    <t>Finsch's Duck</t>
  </si>
  <si>
    <t>"A first approximation suggests it became extinct some time between 1250 and 1860, but was likely extinct by the time of European contact in the late 18th century "</t>
  </si>
  <si>
    <t>Columba thiriouxi</t>
  </si>
  <si>
    <t>Mauritius Woodpigeon</t>
  </si>
  <si>
    <t>Mauritius</t>
  </si>
  <si>
    <t>"This Extinct species has been newly-described from subfossil remains. It is little-known but probably became extinct around 1730 as a result of overhunting, predation by rats, and deforestation"</t>
  </si>
  <si>
    <t>Harper, G.A. and Bunbury, N., 2015. Invasive rats on tropical islands: their population biology and impacts on native species. Global Ecology and Conservation, 3, pp.607-627.</t>
  </si>
  <si>
    <t>"In Mauritius black rats were recorded as very numerous by 1598"</t>
  </si>
  <si>
    <t>Unknown when R.rattus arrived</t>
  </si>
  <si>
    <t>"Norway rats were first recorded in Mauritius and Reunion in 1735. "</t>
  </si>
  <si>
    <t>Nesoenas cicur</t>
  </si>
  <si>
    <t>Mauritius Turtle-dove</t>
  </si>
  <si>
    <t>"Nesoenas cicur is known from subfossil remains on Mauritius (Hume 2011). It is thought to have become extinct by around 1730 "</t>
  </si>
  <si>
    <t>Nesoenas rodericanus</t>
  </si>
  <si>
    <t>Rodrigues Turtle-dove</t>
  </si>
  <si>
    <t>Alectroenas rodericana</t>
  </si>
  <si>
    <t>Rodrigues</t>
  </si>
  <si>
    <t>"This Extinct species has been newly-described from subfossil remains. It is little-known but probably became extinct during the 18th century as a result of overhunting and predation by rats. It may have become extinct between 1726 and 1761 as a result of predation by rats"</t>
  </si>
  <si>
    <t>"In Mauritius black rats were recorded as very numerous by 1598, were present on Rodrigues by 1691"</t>
  </si>
  <si>
    <t>"Bones attributed to Norway rats were found in 1874, but the first mention of them alive dates from 1914"</t>
  </si>
  <si>
    <t>Alectroenas payandeei</t>
  </si>
  <si>
    <t>Rodrigues Blue-pigeon</t>
  </si>
  <si>
    <t>"This newly-recognised Extinct pigeon is known from a single subfossil record. It may have survived into the 17th century but most likely disappeared by the 1690s owing to predation by invasive rats."</t>
  </si>
  <si>
    <t>Dryolimnas augusti</t>
  </si>
  <si>
    <t>Reunion Rail</t>
  </si>
  <si>
    <t>Reunion</t>
  </si>
  <si>
    <t>"This recently-described, probably flightless rail was likely driven Extinct in the late 17th century as a result of hunting pressure and predation by introduced rats and cats."</t>
  </si>
  <si>
    <t>"In Mauritius black rats were recorded as very numerous by 1598, were present on Rodrigues by 1691and arrived on nearby Reunion about 1670"</t>
  </si>
  <si>
    <t>Porphyrio paepae</t>
  </si>
  <si>
    <t>Marquesan Swamphen</t>
  </si>
  <si>
    <t>Marquesas, French polynesia</t>
  </si>
  <si>
    <t>"This species may have survived until as late as 1937, but undoubtedly became Extinct soon after."</t>
  </si>
  <si>
    <t>Tribonyx hodgenorum</t>
  </si>
  <si>
    <t>Hodgen's Waterhen</t>
  </si>
  <si>
    <t>"This species likely became Extinct during the 17th century as a result of predation by rats and hunting by human settlers, although may have survived in remote areas until the 18th century."</t>
  </si>
  <si>
    <t>Prosobonia cancellata</t>
  </si>
  <si>
    <t>Christmas Sandpiper</t>
  </si>
  <si>
    <t>Kiritimati, Kiribati</t>
  </si>
  <si>
    <t>"This newly-recognised Pacific sandpiper became Extinct around the 1850s as a result of predation by invasive mammals."</t>
  </si>
  <si>
    <t>Anderson, A., Wallin, P., Martinsson-Wallin, H., Fankhauser, B. and Hope, G., 2000. Towards a first prehistory of kiritimati (christmas) island, republic of kiribati. The Journal of the Polynesian Society, 109(3), pp.273-293.</t>
  </si>
  <si>
    <t>"David Samwell reported the existence of "some ratts", almost certainly Rattus exulans introduced prehistorically. radiocarbon determinations from seven sites indicate that the period of settlement was approximately A.D. 1200-1600, with most radiocarbon determinations centred on the early 15th century.</t>
  </si>
  <si>
    <t>VanderWerf, E.A., Pierce, R., Bebe, R. and Taabu, K., 2016. Habitat Use and Status of the Bokikokiko or Christmas Island Warbler (Acrocephalus aequinoctialis) 1. Pacific Science, 70(4), pp.437-446.</t>
  </si>
  <si>
    <t>"Black rats arrived recently on Kiritimati Island, possibly involving multiple introductions in the past 35 yr "</t>
  </si>
  <si>
    <t>Pyrocephalus dubius</t>
  </si>
  <si>
    <t>Least Vermilion Flycatcher</t>
  </si>
  <si>
    <t>San Cristobal, Galapagos islands</t>
  </si>
  <si>
    <t>"This species, endemic to San Cristóbal in Ecuador's Galápagos Islands, has not been recorded since the 1980s despite recent searches and is now considered extinct"</t>
  </si>
  <si>
    <t>Key, G. and Muñoz Heredia, E., 1994. Distribution and current status of rodents in the Galápagos.</t>
  </si>
  <si>
    <t>" Rattus rattus was probably the first species of rat to arrive on whaling boats and pirate ships in the late 1600's to James Bay on Santiago and then spread to Bartolomé. A second introduction occurred during the 1800's on Floreana, and then to San Cristóbal and Isabela by the spread of the human colonies. "</t>
  </si>
  <si>
    <t>Santa Cruz, Galapagos islands</t>
  </si>
  <si>
    <t>" It was first identified on Santa Cruz in 1984, and probably arrived one to two years earlier from an unknown source (Fiedler 1984). It is also reported to occur on San Cristóbal (Sivinta 1988)"</t>
  </si>
  <si>
    <t>"Mus musculus was probably not far behind R. rattus in arrival to the Archipelago, because they are typically brought in produce to inhabited islands, including Santiago (now no longer inhabited), Floreana, San Cristóbal, Isabela and Santa Cruz (Muñoz, pers. obs.). On Santa Cruz mice were first seen in the 1940's, "</t>
  </si>
  <si>
    <t>Aplonis ulietensis</t>
  </si>
  <si>
    <t>Raiatea Starling</t>
  </si>
  <si>
    <t>Turdus ulietensis</t>
  </si>
  <si>
    <t>Raiatea, French Polynesia</t>
  </si>
  <si>
    <t>"An expedition to the island in 1850 failed to find the species, and it likely became extinct between 1774-1850 following the arrival of rats on the island."</t>
  </si>
  <si>
    <t>Nesoenas duboisi</t>
  </si>
  <si>
    <t>Reunion Pigeon</t>
  </si>
  <si>
    <t>Columba duboisi</t>
  </si>
  <si>
    <t>"This species was found on the island of Réunion, but it was last recorded in 1674 and is thought to have been Extinct since the early 18th century."</t>
  </si>
  <si>
    <t>Acrocephalus nijoi</t>
  </si>
  <si>
    <t>Aguijan Reed-warbler</t>
  </si>
  <si>
    <t>Aguijan, Northern Mariana Islands, USA</t>
  </si>
  <si>
    <t>"There have been no records of the species since the mid-1990s despite extensive surveys in 2000, 2001, 2008 and 2009, its disappearance likely primarily due to large-scale vegetation clearance. It is therefore classified as Extinct.</t>
  </si>
  <si>
    <t>Adams, A.A.Y., Stanford, J.W., Wiewel, A.S. and Rodda, G.H., 2011. Modelling detectability of kiore (Rattus exulans) on Aguiguan, Mariana Islands, to inform possible eradication and monitoring efforts. New Zealand Journal of Ecology, pp.145-152.</t>
  </si>
  <si>
    <t>" Kiore (the only introduced small mammal species known to be present on the island) arrived on Aguiguan, a small (720 ha) island located approximately 8 km southwest of Tinian, Marianalslands, around 1000 AD"</t>
  </si>
  <si>
    <t>Saipan, Northern Mariana Islands, USA</t>
  </si>
  <si>
    <t>Wiewel, A.S., Adams, A.A.Y. and Rodda, G.H., 2009. Distribution, Density, and Biomass of Introduced Small Mammals in the Southern Mariana Islands1. Pacific Science, 63(2), pp.205-222.</t>
  </si>
  <si>
    <t>"R. norvegicus, first reported on Saipan in the late 1800s"</t>
  </si>
  <si>
    <t>Guam, Mariana Islands</t>
  </si>
  <si>
    <t>" Other introductions include Mus musculus, first reported on Guam in 1819"</t>
  </si>
  <si>
    <t>Foudia delloni</t>
  </si>
  <si>
    <t>Reunion Fody</t>
  </si>
  <si>
    <t>"It was last seen shortly after 1672 and was likely driven to extinction following the arrival of rats on the island. It is therefore classified as Extinct."</t>
  </si>
  <si>
    <t>Melamprosops phaeosoma</t>
  </si>
  <si>
    <t>Poo-uli</t>
  </si>
  <si>
    <t>Maui, Hawaii</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</si>
  <si>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t>
  </si>
  <si>
    <t>Some references state R. rattus arrival as early as 1840</t>
  </si>
  <si>
    <t>Zenaida graysoni</t>
  </si>
  <si>
    <t>Socorro Dove</t>
  </si>
  <si>
    <t>Socorro, Mexico</t>
  </si>
  <si>
    <t>"The last record of an individual of this species in its natural habitat was in 1972. It is therefore classified as Extinct in the Wild. However, there are c.150 birds in captivity and reintroduction of the species is planned."</t>
  </si>
  <si>
    <t>Walter, H.S. and Levin, G.A., 2008. Feral sheep on Socorro Island: facilitators of alien plant colonization and ecosystem decay. Diversity and Distributions, 14(2), pp.422-431.</t>
  </si>
  <si>
    <t>"Rats (Rattus sp.) have never been found on this island but house mice (Mus musculus) and imported house cats (Felis cato) have become residents since the 1950s"</t>
  </si>
  <si>
    <t>Hemignathus lucidus</t>
  </si>
  <si>
    <t>Oahu Nukupuu</t>
  </si>
  <si>
    <t>Oahu, Hawaii</t>
  </si>
  <si>
    <t>"This species was found in O'ahu, Hawaii but it went extinct around the end of the 19th century. Perkins found evidence that many individuals existed in the forests of Oahu in 1860, but no collectors found any trace of it in the 1890s"</t>
  </si>
  <si>
    <t>Atkinson, I.A.E., 1977. A reassessment of factors, particularly Rattus rattus L., that influenced the decline of endemic forest birds in the Hawaiian Islands.</t>
  </si>
  <si>
    <t>"The hypothesis is advanced that after its establishment on Oahu in the 1870s, R. rattus spread to the remaining large islands in the group"</t>
  </si>
  <si>
    <t>Ducula aurorae</t>
  </si>
  <si>
    <t>Polynesian Imperial-pigeon</t>
  </si>
  <si>
    <t>Endangered</t>
  </si>
  <si>
    <t>" On Tahiti, it may already be extinct, it was restricted to the Papeno`o and Hitia`a valleys in 1986-1990 (Monnet et al. 1993), but none were reported in 1998 and in 2006 it was considered unlikely to persist "</t>
  </si>
  <si>
    <t>Anas laysanensis</t>
  </si>
  <si>
    <t>Laysan Duck</t>
  </si>
  <si>
    <t>Critically Endangered</t>
  </si>
  <si>
    <t>Lisianski Island</t>
  </si>
  <si>
    <t>"The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t>
  </si>
  <si>
    <t>Hess, S.C., 2016. A tour de force by Hawaii’s invasive mammals: establishment, takeover, and ecosystem restoration through eradication. Mammal Study, 41(2), pp.47-60.</t>
  </si>
  <si>
    <t>"Compounding the effects of house mice (Mus musculus) present since 1846"</t>
  </si>
  <si>
    <t>Reynolds, M.H., Weiser, E., Jamieson, I. and Hatfield, J.S., 2013. Demographic variation, reintroduction, and persistence of an island duck (Anas laysanensis). The Journal of wildlife management, 77(6), pp.1094-1103.</t>
  </si>
  <si>
    <t>"Formerly a widespread Hawaiian species, the Laysan duck was extirpated from all the main Hawaiian Islands after human colonization brought rats, 800–900 YBP"</t>
  </si>
  <si>
    <t>Vini ultramarina</t>
  </si>
  <si>
    <t>Ultramarine Lorikeet</t>
  </si>
  <si>
    <t>"On Nuku Hiva, it numbered 70 birds in 1972-1975 and despite some scattered records, could not be found in 1990 or in 2004 "</t>
  </si>
  <si>
    <t>Ua Pou, French Polynesia</t>
  </si>
  <si>
    <t>"On Ua Pou, it numbered 250-300 pairs in 1975, was rare in 1990 (Holyoak and Thibault 1984, Seitre and Seitre 1991) and despite some scattered records, was not found in 1998 or 2012"</t>
  </si>
  <si>
    <t>"Black rats are known to have decimated bird populations on numerous islands (Atkinson 1985) and have been present on islands of Nuku Hiva since 1915, Ua Pou since 1980, and confirmed on Fatu Hiva in February of 2000"</t>
  </si>
  <si>
    <t>Fatu Hiva, French Polyneisa</t>
  </si>
  <si>
    <t>"It was (re-)introduced to Fatu Hiva (29 birds) in the 1990s (Kuehler and Lieberman 1993), where 51 birds were counted in 1997 (Kuehler et al. 1997) but rats became established and it was considered extinct by 2007"</t>
  </si>
  <si>
    <t>Puffinus myrtae</t>
  </si>
  <si>
    <t>Rapa Shearwater</t>
  </si>
  <si>
    <t>Puffinus assimilis, Puffinus newelli</t>
  </si>
  <si>
    <t>Rapa, French Polynesia</t>
  </si>
  <si>
    <t>"In 1974 the population size was estimated at 265-380 pairs (excluding any potential birds breeding on the main Rapa Island), but no individuals were located during surveys in 1989"</t>
  </si>
  <si>
    <t>West, K., Collins, C., Kardailsky, O., Kahn, J., Hunt, T.L., Burley, D.V. and Matisoo-Smith, E., 2017. The Pacific rat race to Easter Island: tracking the prehistoric dispersal of Rattus exulans using ancient mitochondrial genomes. Frontiers in Ecology and Evolution, 5, p.52.</t>
  </si>
  <si>
    <t>"The Wilmshurst et al. (2011) re-analysis of East Polynesian radiocarbon determinations from early settlement deposits, suggests that Easter Island was colonized between ~750 and 650 B.P. The initial colonization is supported to be of Polynesian origin (Weisler, 1996; Green, 1998; Martinsson-Wallin and Wallin, 2000; Barnes et al., 2006), however the immediate origin remains unclear. The grouping of the Tubuai (Austral Is) and Easter Island haplotypes in this study suggests that both island groups were established by the same colonization wave, that would have carried the haplotype that the Easter Island and Tubuai rats share or are derived from."</t>
  </si>
  <si>
    <t>Fratercula arctica</t>
  </si>
  <si>
    <t>Atlantic Puffin</t>
  </si>
  <si>
    <t>Vulnerable</t>
  </si>
  <si>
    <t>Lock, J., 2006. Eradication of brown rats Rattus norvegicus and black rats Rattus rattus to restore breeding seabird populations on Lundy Island, Devon, England. Conservation Evidence, 3(1), pp.111-113.</t>
  </si>
  <si>
    <t>Lundy, United Kingdom</t>
  </si>
  <si>
    <t>"seabird populations on Lundy have declined dramatically with no Manx shearwater Puffinus puffinus chicks found since _x000D_
1959 or Atlantic puffins Fratercula arctica breeding for 20 years"</t>
  </si>
  <si>
    <t>The species has since returned to the Island</t>
  </si>
  <si>
    <t>MITH, P., JAS MITH, F.T., ERSALL, S.N., SEYMOUR, R. and LANCASTER, V., THE LUNDY SHIP RAT EXPEDITION 1991.</t>
  </si>
  <si>
    <t>"Ship rats have been on Lundy for several hundred years, Willcox ( 1988), for example, stating that they were "plentiful on Lundy in 1630""</t>
  </si>
  <si>
    <t>England, United Kingdom</t>
  </si>
  <si>
    <t>Appleton, D., Booker, H., Bullock, D.J., Cordrey, L. and Sampson, B., 2004. Interim report on the Seabird Recovery Project: Lundy. Annual Report of the Lundy Field Society 2003, pp.53-57.</t>
  </si>
  <si>
    <t>" The black rat was formerly much more abundant, and possibly usurped by the brown rat when this species arrived in Britain and Ireland in the l91 h Century"</t>
  </si>
  <si>
    <t>Reference for england but would've arrived to Lundy at a similar time</t>
  </si>
  <si>
    <t>Pterodroma cookii</t>
  </si>
  <si>
    <t>Cook's Petrel</t>
  </si>
  <si>
    <t>Pterodroma cooki</t>
  </si>
  <si>
    <t>Great Barrier Island, New Zealand</t>
  </si>
  <si>
    <t>Rayner, M.J., Hauber, M.E. and Clout, M.N., 2007. Breeding habitat of the Cook's Petrel (Pterodroma cookii) on Little Barrier Island (Hauturu): implications for the conservation of a New Zealand endemic. Emu-Austral Ornithology, 107(1), pp.59-68.</t>
  </si>
  <si>
    <t>"Until recently a population bred on Great BarrierIsland (Aotea) 3 km east of Little Barrier Island. However, only12 scattered burrows have been found in the last 25 years (Imberet  al.  2003a)  and  this  colony  is  considered  effectively  extinctowing  to  predation  by  feral  Cats  (Felis  catus),  Black  Rats(Rattus rattus), Pacific Rats (Kiore) (R. exulans)</t>
  </si>
  <si>
    <t>Russell, J.C., Robins, J.H. and Fewster, R.M., 2019. Phylogeography of invasive rats in New Zealand. Frontiers in Ecology and Evolution, p.48.</t>
  </si>
  <si>
    <t>"From known historical records R. rattus was only widespread in the North Island and Great Barrier Island after 1860"</t>
  </si>
  <si>
    <t>-36.567439,</t>
  </si>
  <si>
    <t>"From known historical records R. norvegicus was first observed in the North Island in 1772 and was widespread by the 1830s"</t>
  </si>
  <si>
    <t>Record for North island which great barrier island is just off shore, so arrival would be similar."</t>
  </si>
  <si>
    <t>Puffinus yelkouan</t>
  </si>
  <si>
    <t>Yelkouan Shearwater</t>
  </si>
  <si>
    <t>Exitrpation</t>
  </si>
  <si>
    <t>San Pietro Island, Sardinia</t>
  </si>
  <si>
    <t>Sposimo, P., Spano, G., Navone, A., Fratini, S., Ragionieri, L., Putzu, M., Capizzi, D., Baccetti, N. and Lastrucci, B., 2012. Rat eradication at Yelkouan Shearwater Puffinus yelkouan colonies on NE Sardinian islets: success followed by unexplained re-appearance. In Ecology and Conservation of Mediterranean Seabirds and other bird species under the Barcelona Convention. Proceedings of the 13th Medmaravis Pan-Mediterranean symposium. Medmaravis, Alghero (pp. 58-64).</t>
  </si>
  <si>
    <t>"Since 2009, one breeding colony off the south-west corner of Sardinia (San Pietro Island) has been reported as absent, possibly extinct"</t>
  </si>
  <si>
    <t>Sardinia</t>
  </si>
  <si>
    <t>Baccetti, N., Capizzi, D., Massa, B. and Sposimo, P., Breeding shearwaters on Italian islands: population size, island selection and co-existence with their main alien predator.</t>
  </si>
  <si>
    <t>"The black rat, Rattus rattus, is by far the most widespread terrestrial mammal on the Mediterranean islands. It has been introduced in the region by man two thousands years ago"</t>
  </si>
  <si>
    <t>Diomedea dabbenena</t>
  </si>
  <si>
    <t>Tristan Albatross</t>
  </si>
  <si>
    <t>Diomedea chionoptera</t>
  </si>
  <si>
    <t>Rattus, Mus musculus</t>
  </si>
  <si>
    <t>Pterodroma atrata</t>
  </si>
  <si>
    <t>Henderson Petrel</t>
  </si>
  <si>
    <t>Ducie, Pitcairn islands</t>
  </si>
  <si>
    <t>Brooke, M.D.L., 1995. The breeding biology of the gadfly petrels Pterodroma spp. of the Pitcairn Islands: characteristics, population sizes and controls. Biological journal of the Linnean Society, 56(1-2), pp.213-231.</t>
  </si>
  <si>
    <t>"In 1922, E. H. Quayle (in Murphy &amp; Pennoyer, 1952) thought the combined population of Herald and Henderson petrels on Ducie was around 115000 pairs. Quayle thought that on Ducie Henderson petrels were about one-tenth as abundant as Herald petrels. The subsequent disappearance of the Henderson petrel as a Ducie breeding bird has already been discussed by Brooke &amp; Rowe (1996).</t>
  </si>
  <si>
    <t>Henderson Island, Pitcairn Islands</t>
  </si>
  <si>
    <t>Irving, R.A., Dawson, T.P. and Christian, M., 2019. The Pitcairn Islands. In World Seas: an Environmental Evaluation (pp. 743-764). Academic Press.</t>
  </si>
  <si>
    <t>"The threat to terrestrial ecosystems from invasive species is of far greater concern. One such species is the Pacific rat (or kiore) Rattus exulans, likely to have been brought to the Pitcairn Islands by Polynesian settlers over 800 years ago"</t>
  </si>
  <si>
    <t>Pomarea nigra</t>
  </si>
  <si>
    <t>Tahiti Monarch</t>
  </si>
  <si>
    <t>Orofero valley, Tahiti</t>
  </si>
  <si>
    <t>"By 2010, the population in the Orofero valley had disappeared (Blanvillain et al. 2013, 2018)"</t>
  </si>
  <si>
    <t>Zosterops modestus</t>
  </si>
  <si>
    <t>Seychelles White-eye</t>
  </si>
  <si>
    <t>Rattus rattus, Rattus norvegicus</t>
  </si>
  <si>
    <t>Cousine Island, Seychelles</t>
  </si>
  <si>
    <t>"In 2007, 25 birds were transferred to Ile du Nord, and 23 to Cousine …  the population on Cousine has apparently failed, with no more than five individuals recorded there in 2013 (G. Rocamora in litt. 2014), all of which vanished shortly after"</t>
  </si>
  <si>
    <t>Soorae, P.S., 2011. Global re-introduction perspectives. More case studies from around the globe. Abu Dhabi, UAE. Gland, Switzerland: IUCN/SSC Re-introduction Specialist Group, and Abu Dhabi: Environment Agency, p.250.</t>
  </si>
  <si>
    <t>"whilst Cousine has always been rat free.</t>
  </si>
  <si>
    <t>Copsychus sechellarum</t>
  </si>
  <si>
    <t>Seychelles Magpie-robin</t>
  </si>
  <si>
    <t>Alphonse, Seychelles</t>
  </si>
  <si>
    <t>" The introduced population on Alphonse was wiped out in c.1960"</t>
  </si>
  <si>
    <t>Silhouette Island, Seychelles</t>
  </si>
  <si>
    <t>"By 1773 there were ship rats on Mahé, and by 1787 they were reportedly widespread on ‘nearly all the islands of the archipelago’ (Malavois, in Fauvel 1909), though a few of the smaller islands (e.g. Cousin, Cousine, Aride) have always remained rat free "</t>
  </si>
  <si>
    <t>Mahe, Seychelles</t>
  </si>
  <si>
    <t>McCulloch, N., 1996. The Seychelles Magpie Robin: first steps on the road to recovery. Bull. Afr. Bird Club, 3, pp.81-84.</t>
  </si>
  <si>
    <t>"By 1880 the Magpie Robin had disappeared from the largest island, Mahe."</t>
  </si>
  <si>
    <t>Cheke, A., 2010. The timing of arrival of humans and their commensal animals on Western Indian Ocean oceanic islands. Phelsuma, 18, pp.38-69. Atkinson, 1985. The spread of commensal species of Rattus to the oceanic islands and their effects on the island's avifauna</t>
  </si>
  <si>
    <t>"By 1773 there were ship rats on Mahé, and by 1787 they were reportedly widespread on ‘nearly all the islands of the archipelago’ (Malavois, in Fauvel 1909), though a few of the smaller islands (e.g. Cousin, Cousine, Aride) have always remained rat free " "Table 2: Seychelles Is, R.rattus, time of introduction= pre-1773"</t>
  </si>
  <si>
    <t>"Norway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 "</t>
  </si>
  <si>
    <t>Marianne, Seychelles</t>
  </si>
  <si>
    <t>"The species survived into the early years of the twentieth century on Marianne, Aride and Fregate, as did an introduced population established around 1890 on the coralline island of Alphonse 7 . During the following fifty years the Marianne, Aride and Alphonse populations all succumbed to predators and habitat destruction"</t>
  </si>
  <si>
    <t>Aride, Seychelles</t>
  </si>
  <si>
    <t>"though a few of the smaller islands (e.g. Cousin, Cousine, Aride) have always remained rat free "</t>
  </si>
  <si>
    <t>"though a few of the smaller islands (e.g. Cousin, Cousine, Aride) have always remained rat free " "Norway rats did not reach the islands until very recently. None were found during trapping on Mahé and Praslin in 1976-7 (Racey &amp; Nicoll 1984), and although they probably arrived in the late 1970s (Gérard Rocamora in litt.) or the 1980s (Hill et al. 2003), they were not reported until 1994 when they were well established on Mahé (Meyer, cited in Hill et al. 2003). They are now present on Mahé (and offshore Anonyme) and Praslin, having invaded and been eliminated on Conception and Frigate"</t>
  </si>
  <si>
    <t>Ptychoramphus aleuticus</t>
  </si>
  <si>
    <t>Cassin's Auklet</t>
  </si>
  <si>
    <t>Near Threatened</t>
  </si>
  <si>
    <t>Newton, K.M., McKown, M., Wolf, C., Gellerman, H., Coonan, T., Richards, D., Harvey, A.L., Holmes, N., Howald, G., Faulkner, K. and Tershy, B.R., 2016. Response of native species 10 years after rat eradication on Anacapa Island, California. Journal of Fish and Wildlife Management, 7(1), pp.72-85.</t>
  </si>
  <si>
    <t>Anacapa Island</t>
  </si>
  <si>
    <t>"No Cassin's auklet nests were found on Anacapa Island pre-eradication, with surveys dating back to 1910</t>
  </si>
  <si>
    <t>Bird was temporarily extirpated from the island with no breeding/nests occuring</t>
  </si>
  <si>
    <t>Howald, G., Donlan, C.J., Faulkner, K.R., Ortega, S., Gellerman, H., Croll, D.A. and Tershy, B.R., 2010. Eradication of black rats Rattus rattus from Anacapa Island. Oryx, 44(1), pp.30-40.</t>
  </si>
  <si>
    <t>"Black rats were introduced to Anacapa Island sometime before 1939, probably in supplies transported onto the island or from a shipwreck "</t>
  </si>
  <si>
    <t>Pachyptila macgillivrayi</t>
  </si>
  <si>
    <t>MacGillivray's Prion</t>
  </si>
  <si>
    <t>Barbraud, C., Delord, K., Le Bouard, F., Harivel, R., Demay, J., Chaigne, A. and Micol, T., 2021. Seabird population changes following mammal eradication at oceanic Saint-Paul Island, Indian Ocean. Journal for Nature Conservation, 63, p.126049.</t>
  </si>
  <si>
    <t>Saint-Paul Island</t>
  </si>
  <si>
    <t>Jiguet, F., Robert, A., Micol, T. and Barbraud, C., 2007. Quantifying stochastic and deterministic threats to island seabirds: last endemic prions face extinction from falcon peregrinations. Animal conservation, 10(2), pp.245-253.</t>
  </si>
  <si>
    <t>"By the late 1990s, established black rats Rattus rattus had extirpated all seabird colonies from Saint-Paul mainland, while only six of the 13 originally breeding species"</t>
  </si>
  <si>
    <t>"Rats and mice were introduced between 1792 and 1874"</t>
  </si>
  <si>
    <t>Notiomystis cincta</t>
  </si>
  <si>
    <t>Stitchbird</t>
  </si>
  <si>
    <t>Ewen, J.G., Parker, K.A., Richardson, K., Armstrong, D. and Smuts-Kennedy, C., 2011. Translocation of hihi Notiomystis cincta to Maungatautari, a mainland reserve protected by a predator-exclusion fence, Waikato, New Zealand. Conservation Evidence, 8, pp.58-65.</t>
  </si>
  <si>
    <t>"since becoming extirpated in all other areas by about 1883."</t>
  </si>
  <si>
    <t>Nesospiza acunhae</t>
  </si>
  <si>
    <t>Inaccessible Island Finch</t>
  </si>
  <si>
    <t>rodent_arrival</t>
  </si>
  <si>
    <t>Chatham Islands, New Zealand</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</si>
  <si>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</si>
  <si>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Doukas, T. and Ziembicki, M., 2022. Conservation status and biology of the Ultramarine Lorikeet Vini ultramarina in the Marquesas Islands, French Polynesia. Bird Conservation International, 32(1), pp.111-126.; Thibault, J.C., Martin, J.L., Penloup, A. and Meyer, J.Y., 2002. Understanding the decline and extinction of monarchs (Aves) in Polynesian Islands. Biological conservation, 108(2), pp.161-174.</t>
  </si>
  <si>
    <t>"Black rats are known to have decimated bird populations on numerous islands (Atkinson 1985) and have been present on islands of Nuku Hiva
since 1915, Ua Pou since 1980, and confirmed on Fatu Hiva in February of 2000". "1920s" Table 2</t>
  </si>
  <si>
    <t>Doukas, T. and Ziembicki, M., 2022. Conservation status and biology of the Ultramarine Lorikeet Vini ultramarina in the Marquesas Islands, French Polynesia. Bird Conservation International, 32(1), pp.111-126; Thibault, J.C., Martin, J.L., Penloup, A. and Meyer, J.Y., 2002. Understanding the decline and extinction of monarchs (Aves) in Polynesian Islands. Biological conservation, 108(2), pp.161-174.</t>
  </si>
  <si>
    <t>"Black rats are known to have decimated bird populations on numerous islands (Atkinson 1985) and have been present on islands of Nuku Hiva since 1915, Ua Pou since 1980, and confirmed on Fatu Hiva in February of 2000". "1920's" Table 2</t>
  </si>
  <si>
    <t>Meyer, J.Y. and Butaud, J.F., 2009. The impacts of rats on the endangered native flora of French Polynesia (Pacific Islands): drivers of plant extinction or coup de grâce species?. Biological Invasions, 11, pp.1569-1585. , Seitre, J., 1992. Causes of land-bird extinctions in French Polynesia. Oryx, 26(4), pp.215-222; Thibault, J.C., Martin, J.L., Penloup, A. and Meyer, J.Y., 2002. Understanding the decline and extinction of monarchs (Aves) in Polynesian Islands. Biological conservation, 108(2), pp.161-174.</t>
  </si>
  <si>
    <t>"Black rats are known to have decimated bird populations on numerous islands (Atkinson 1985) and have been present on islands of Nuku Hiva since 1915, Ua Pou since 1980, and confirmed on Fatu Hiva in February of 2000" Thibault: "1975" "first record" Table 2</t>
  </si>
  <si>
    <t>"The black rat (Rattus rattus) was introduced to the island in the 1880s" "Presence of the black rat between 1850 and 1880 (Gill, 1885, cited by Robertson et al., 1994) was inferred by Robertson et al. (1994) from the observed decline of the Rarotongan monarch and McCormack and Ku¨nzle (1990) indicate that it arrived within the last 100 years. However, direct observation of the black rat date only back to the 1970s."</t>
  </si>
  <si>
    <t>Larrue, S. ed., 2013. Biodiversity and societies in the Pacific Islands. Presses universitaires de Provence.; Thibault, J.C., Martin, J.L., Penloup, A. and Meyer, J.Y., 2002. Understanding the decline and extinction of monarchs (Aves) in Polynesian Islands. Biological conservation, 108(2), pp.161-174.</t>
  </si>
  <si>
    <t>"On the other hand, the ship rat (Rattus rattus), introduced onto Eiao during the 20th century". Thibault: "Rat identified as black rat after building of shelters by military in 1972–1973 (J.-L. Candelot, personal communication)."</t>
  </si>
  <si>
    <t>Butaud, J.F. and Jacq, F.A., 2013. Flora and vegetation on the small uninhabited islands of the Marquesas archipelago (French Polynesia): Relics of dry biota threatened by biological invasions. Biodiversity and Societies in the Pacific Islands, pp.131-165.; Thibault, J.C., Martin, J.L., Penloup, A. and Meyer, J.Y., 2002. Understanding the decline and extinction of monarchs (Aves) in Polynesian Islands. Biological conservation, 108(2), pp.161-174.</t>
  </si>
  <si>
    <t>"European period, starting in the 18th century are commonly attributed to a combination of habitat destruction or modification, hunting, and predation by a set of introduced animals such as rats", "Then Mendana found the Marquesas in 1595. Europeans introduced goats, sheep, cattle, horses, rabbits and domestic cats, as well as, unintentionally, roof rats Rattus rattus, brown rats Rattus norvegicus and house mice Mus musculus. Thibault: "1922" "first record", "19th century absent" Table 2</t>
  </si>
  <si>
    <t>"Black Rats Rattus rattus reached the island from a shipwreck in 1882" "Black Rats (Rattus rattus) arrived in 1882"</t>
  </si>
  <si>
    <t>RYAN, P.G., COOPER, J. and GLASS, J.P., 2001. Population status, breeding biology and conservation of the Tristan Albatross Diomedea [exulans] dabbenena. Bird Conservation International, 11(1), pp.35-48; Bond, A.L., Carlson, C.J. and Burgio, K.R., 2019. Local extinctions of insular avifauna on the most remote inhabited island in the world. Journal of Ornithology, 160(1), pp.49-60.</t>
  </si>
  <si>
    <t>Dilley, B.J., Davies, D., Repetto, J., Swain, G. and Ryan, P.G., 2020. Rats and prions at Tristan da Cunha Island. Ostrich, 91(3), pp.240-243; Bond, A.L., Carlson, C.J. and Burgio, K.R., 2019. Local extinctions of insular avifauna on the most remote inhabited island in the world. Journal of Ornithology, 160(1), pp.49-60.</t>
  </si>
  <si>
    <t>"The house mouse was present on Tristan before it was permanently settled in 1811 and was probably accidentally introduced by sealers during the 18th century" "House Mice (Mus musculus) arrived in the early nineteenth century, though the date is unknown"</t>
  </si>
  <si>
    <t>IUCN. 2023. The IUCN Red List of Threatened Species. Version 2023-1. Kear, J.; Scarlett, R. J. 1970. The Auckland Islands Merganser. Wildfowl 21: 78-86. Bond, A.L., Carlson, C.J. and Burgio, K.R., 2019. Local extinctions of insular avifauna on the most remote inhabited island in the world. Journal of Ornithology, 160(1), pp.49-60; Bond, A.L., Carlson, C.J. and Burgio, K.R., 2019. Local extinctions of insular avifauna on the most remote inhabited island in the world. Journal of Ornithology, 160(1), pp.49-60.</t>
  </si>
  <si>
    <t>"It became extinct on the main island of Tristan da Cunha before the end of the 19th century " "The Inaccessible Finch was last seen on Tristan prior to the Challenger expedition of 1873, the first major scientific expedition to the island" "the Tristan Moorhen (Gallinula nesiotis), Inaccessible Finch (Nesospiza acunhae acunhae), and Tristan Albatross (Diomedea dabbenena). 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t>
  </si>
  <si>
    <t xml:space="preserve">Atkinson IAE. 1985. The spread of commensal species of Rattus to oceanic islands and their effects on island avifaunas. Pages 35-81 in Moors PJ, editor. Conservation of Island Birds. Case Studies for the Management of Threatened Island Species. Symposium </t>
  </si>
  <si>
    <t>IUCN. 2023. The IUCN Red List of Threatened Species. Version 2023-1; Recher, H.F. and Clark, S.S., 1974. A biological survey of Lord Howe Island with recommendations for the conservation of the island's wildlife. Biological Conservation, 6(4), pp.263-273.</t>
  </si>
  <si>
    <t>"This species was endemic to Lord Howe Island, Australia, but was driven Extinct by the depredations of introduced rats. It was last recorded in 1928, with none found on a survey in 1936." "Gerygone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</si>
  <si>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IUCN. 2023. The IUCN Red List of Threatened Species. Version 2023-1; Olson, Storrs L. "Evolution of the rails of the South Atlantic islands (Aves: Rallidae)." (1973).</t>
  </si>
  <si>
    <t>"This species was known from Ascension Island, St Helena, but is now Extinct. The only record of the species comes from 1656 and it is thought to have succumbed to predation by introduced rats and cats" "Just how long after 1656 the Ascension rail survived is not known"</t>
  </si>
  <si>
    <t>" the ship rat first arrived on the island at the time of its discovery in 1502 with repeated invasions from subsequent ships, and this seems a reasonable assumption" "At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t>
  </si>
  <si>
    <t>Key, G. and Hudson, R., 2000. The rat control program on the island of St. Helena. In Proceedings of the Vertebrate Pest Conference (Vol. 19, No. 19); Olson, Storrs L. "Evolution of the rails of the South Atlantic islands (Aves: Rallidae)." (1973).</t>
  </si>
  <si>
    <t>"It was abundant up until 1852, but rare by 1873, and had become extinct by the end of the 19th century"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</si>
  <si>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IUCN. 2023. The IUCN Red List of Threatened Species. Version 2023-1; Bond, A.L., Carlson, C.J. and Burgio, K.R., 2019. Local extinctions of insular avifauna on the most remote inhabited island in the world. Journal of Ornithology, 160(1), pp.49-60.</t>
  </si>
  <si>
    <t>"It used to breed on the main island of Tristan, but was extirpated at the start of the twentieth century, primarily due to human exploitation" "the Tristan Moorhen (Gallinula nesiotis), Inaccessible Finch (Nesospiza acunhae acunhae), and Tristan Albatross (Diomedea dabbenena). 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"only the albatross had a high probability of persistence when Black Rats (Rattus rattus) arrived in 1882 "The Tristan Albatross likely went extinct on the main island of Tristan by 1880, in part owing to human persecution"</t>
  </si>
  <si>
    <t>Angel, A. and Cooper, J., 2006. A review of the impacts of introduced rodents on the islands of Tristan da Cunha and Gough. Sandy: Royal Society for the Protection of Birds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</si>
</sst>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b/>
      <sz val="10"/>
      <color indexed="8"/>
      <name val="Helvetica Neue"/>
      <family val="2"/>
    </font>
    <font>
      <sz val="10"/>
      <color indexed="8"/>
      <name val="Helvetica Neue"/>
      <family val="2"/>
    </font>
    <font>
      <sz val="12"/>
      <color indexed="8"/>
      <name val="Aptos Narrow"/>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tint="0.7999816888943144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6">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xf numFmtId="49" fontId="2" fillId="0" borderId="7" xfId="0" applyNumberFormat="1" applyFont="1" applyBorder="1" applyAlignment="1">
      <alignment vertical="top"/>
    </xf>
    <xf numFmtId="0" fontId="3" fillId="0" borderId="0" xfId="0" applyFont="1">
      <alignment vertical="top" wrapText="1"/>
    </xf>
    <xf numFmtId="49" fontId="2" fillId="0" borderId="7" xfId="0" applyNumberFormat="1" applyFont="1" applyBorder="1">
      <alignment vertical="top" wrapText="1"/>
    </xf>
    <xf numFmtId="0" fontId="0" fillId="0" borderId="7" xfId="0" applyNumberFormat="1" applyFill="1" applyBorder="1" applyAlignment="1">
      <alignment vertical="top"/>
    </xf>
    <xf numFmtId="49" fontId="2" fillId="0" borderId="7" xfId="0" applyNumberFormat="1" applyFont="1" applyFill="1" applyBorder="1" applyAlignment="1">
      <alignment vertical="top"/>
    </xf>
    <xf numFmtId="0" fontId="1" fillId="4" borderId="5" xfId="0" applyNumberFormat="1" applyFont="1" applyFill="1" applyBorder="1" applyAlignment="1">
      <alignment vertical="top"/>
    </xf>
    <xf numFmtId="0" fontId="0" fillId="4" borderId="6" xfId="0" applyNumberFormat="1" applyFill="1" applyBorder="1" applyAlignment="1">
      <alignment vertical="top"/>
    </xf>
    <xf numFmtId="49" fontId="0" fillId="4" borderId="7" xfId="0" applyNumberFormat="1" applyFill="1" applyBorder="1" applyAlignment="1">
      <alignment vertical="top"/>
    </xf>
    <xf numFmtId="0" fontId="0" fillId="4" borderId="7" xfId="0" applyNumberFormat="1" applyFill="1" applyBorder="1" applyAlignment="1">
      <alignment vertical="top"/>
    </xf>
    <xf numFmtId="49" fontId="2" fillId="4" borderId="7" xfId="0" applyNumberFormat="1" applyFont="1" applyFill="1" applyBorder="1" applyAlignment="1">
      <alignment vertical="top"/>
    </xf>
    <xf numFmtId="0" fontId="0" fillId="4" borderId="7" xfId="0" applyFill="1" applyBorder="1" applyAlignment="1">
      <alignment vertical="top"/>
    </xf>
    <xf numFmtId="0" fontId="0" fillId="4" borderId="0" xfId="0" applyNumberFormat="1" applyFill="1" applyAlignment="1">
      <alignment vertical="top"/>
    </xf>
    <xf numFmtId="49" fontId="0" fillId="0" borderId="7" xfId="0" applyNumberForma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198"/>
  <sheetViews>
    <sheetView showGridLines="0" tabSelected="1" topLeftCell="R1" workbookViewId="0">
      <pane ySplit="840" topLeftCell="A2" activePane="bottomLeft"/>
      <selection activeCell="J1" sqref="J1:L1048576"/>
      <selection pane="bottomLeft" activeCell="O182" sqref="O182"/>
    </sheetView>
  </sheetViews>
  <sheetFormatPr baseColWidth="10" defaultColWidth="8.33203125" defaultRowHeight="20" customHeight="1" x14ac:dyDescent="0.15"/>
  <cols>
    <col min="1" max="1" width="12.5" style="1" customWidth="1"/>
    <col min="2" max="2" width="13.6640625" style="1" customWidth="1"/>
    <col min="3" max="3" width="21.33203125" style="1" customWidth="1"/>
    <col min="4" max="4" width="22.5" style="1" customWidth="1"/>
    <col min="5" max="5" width="22.1640625" style="1" customWidth="1"/>
    <col min="6" max="6" width="14.83203125" style="1" customWidth="1"/>
    <col min="7" max="7" width="20.83203125" style="1" customWidth="1"/>
    <col min="8" max="8" width="15" style="1" customWidth="1"/>
    <col min="9" max="9" width="22.83203125" style="1" customWidth="1"/>
    <col min="10" max="10" width="18.83203125" style="1" customWidth="1"/>
    <col min="11" max="11" width="25.6640625" style="1" customWidth="1"/>
    <col min="12" max="12" width="14.33203125" style="1" customWidth="1"/>
    <col min="13" max="13" width="15.83203125" style="1" customWidth="1"/>
    <col min="14" max="14" width="25" style="1" customWidth="1"/>
    <col min="15" max="15" width="35.1640625" style="1" customWidth="1"/>
    <col min="16" max="16" width="23.5" style="1" customWidth="1"/>
    <col min="17" max="17" width="33.83203125" style="1" customWidth="1"/>
    <col min="18" max="18" width="116.33203125" style="1" customWidth="1"/>
    <col min="19" max="19" width="166.6640625" style="1" customWidth="1"/>
    <col min="20" max="20" width="24.1640625" style="1" customWidth="1"/>
    <col min="21" max="21" width="25.6640625" style="1" customWidth="1"/>
    <col min="22" max="22" width="18.33203125" style="1" customWidth="1"/>
    <col min="23" max="23" width="15.5" style="1" customWidth="1"/>
    <col min="24" max="24" width="24" style="1" customWidth="1"/>
    <col min="25" max="25" width="34.1640625" style="1" customWidth="1"/>
    <col min="26" max="26" width="22.5" style="1" customWidth="1"/>
    <col min="27" max="27" width="32.6640625" style="1" customWidth="1"/>
    <col min="28" max="29" width="166.6640625" style="1" customWidth="1"/>
    <col min="30" max="30" width="127.1640625" style="1" customWidth="1"/>
    <col min="31" max="31" width="24.33203125" style="1" customWidth="1"/>
    <col min="32" max="32" width="24.83203125" style="1" customWidth="1"/>
    <col min="33" max="33" width="23.5" style="1" customWidth="1"/>
    <col min="34" max="34" width="24" style="1" customWidth="1"/>
    <col min="35" max="35" width="13.1640625" style="1" customWidth="1"/>
    <col min="36" max="36" width="13.6640625" style="1" customWidth="1"/>
    <col min="37" max="37" width="16.1640625" style="1" customWidth="1"/>
    <col min="38" max="38" width="6" style="1" customWidth="1"/>
    <col min="39" max="39" width="34.6640625" style="1" customWidth="1"/>
    <col min="40" max="40" width="8.33203125" style="1" customWidth="1"/>
    <col min="41" max="16384" width="8.33203125" style="1"/>
  </cols>
  <sheetData>
    <row r="1" spans="1:39"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527</v>
      </c>
    </row>
    <row r="2" spans="1:39" ht="20.25" customHeight="1" x14ac:dyDescent="0.15">
      <c r="A2" s="3">
        <v>92795779</v>
      </c>
      <c r="B2" s="4">
        <v>22678955</v>
      </c>
      <c r="C2" s="5" t="s">
        <v>38</v>
      </c>
      <c r="D2" s="5" t="s">
        <v>39</v>
      </c>
      <c r="E2" s="5" t="s">
        <v>40</v>
      </c>
      <c r="F2" s="5" t="s">
        <v>41</v>
      </c>
      <c r="G2" s="5" t="s">
        <v>42</v>
      </c>
      <c r="H2" s="5" t="s">
        <v>43</v>
      </c>
      <c r="I2" s="6">
        <v>1</v>
      </c>
      <c r="J2" s="5" t="s">
        <v>44</v>
      </c>
      <c r="K2" s="5" t="s">
        <v>45</v>
      </c>
      <c r="L2" s="6">
        <v>-41.286499999999997</v>
      </c>
      <c r="M2" s="6">
        <v>174.77619999999999</v>
      </c>
      <c r="N2" s="6">
        <v>1875</v>
      </c>
      <c r="O2" s="5" t="s">
        <v>46</v>
      </c>
      <c r="P2" s="6">
        <v>1875</v>
      </c>
      <c r="Q2" s="5" t="s">
        <v>46</v>
      </c>
      <c r="R2" s="5" t="s">
        <v>47</v>
      </c>
      <c r="S2" s="5" t="s">
        <v>48</v>
      </c>
      <c r="T2" s="5" t="s">
        <v>49</v>
      </c>
      <c r="U2" s="5" t="s">
        <v>45</v>
      </c>
      <c r="V2" s="6">
        <v>-41.286499999999997</v>
      </c>
      <c r="W2" s="6">
        <v>174.77619999999999</v>
      </c>
      <c r="X2" s="6">
        <v>100</v>
      </c>
      <c r="Y2" s="5" t="s">
        <v>46</v>
      </c>
      <c r="Z2" s="6">
        <v>1200</v>
      </c>
      <c r="AA2" s="5" t="s">
        <v>46</v>
      </c>
      <c r="AB2" s="5" t="s">
        <v>50</v>
      </c>
      <c r="AC2" s="5" t="s">
        <v>51</v>
      </c>
      <c r="AD2" s="5" t="s">
        <v>52</v>
      </c>
      <c r="AE2" s="6">
        <v>75</v>
      </c>
      <c r="AF2" s="6">
        <v>75</v>
      </c>
      <c r="AG2" s="6">
        <v>1850</v>
      </c>
      <c r="AH2" s="6">
        <v>750</v>
      </c>
      <c r="AI2" s="6">
        <v>675</v>
      </c>
      <c r="AJ2" s="6">
        <v>1775</v>
      </c>
      <c r="AK2" s="6">
        <v>1225</v>
      </c>
      <c r="AL2" s="6">
        <v>-1100</v>
      </c>
      <c r="AM2" s="5" t="s">
        <v>53</v>
      </c>
    </row>
    <row r="3" spans="1:39" ht="20" customHeight="1" x14ac:dyDescent="0.15">
      <c r="A3" s="7">
        <v>92795779</v>
      </c>
      <c r="B3" s="8">
        <v>22678955</v>
      </c>
      <c r="C3" s="9" t="s">
        <v>38</v>
      </c>
      <c r="D3" s="9" t="s">
        <v>39</v>
      </c>
      <c r="E3" s="9" t="s">
        <v>40</v>
      </c>
      <c r="F3" s="9" t="s">
        <v>41</v>
      </c>
      <c r="G3" s="9" t="s">
        <v>42</v>
      </c>
      <c r="H3" s="9" t="s">
        <v>54</v>
      </c>
      <c r="I3" s="10">
        <v>1</v>
      </c>
      <c r="J3" s="9" t="s">
        <v>44</v>
      </c>
      <c r="K3" s="9" t="s">
        <v>45</v>
      </c>
      <c r="L3" s="10">
        <v>-41.286499999999997</v>
      </c>
      <c r="M3" s="10">
        <v>174.77619999999999</v>
      </c>
      <c r="N3" s="10">
        <v>1875</v>
      </c>
      <c r="O3" s="9" t="s">
        <v>46</v>
      </c>
      <c r="P3" s="10">
        <v>1875</v>
      </c>
      <c r="Q3" s="9" t="s">
        <v>46</v>
      </c>
      <c r="R3" s="9" t="s">
        <v>47</v>
      </c>
      <c r="S3" s="9" t="s">
        <v>48</v>
      </c>
      <c r="T3" s="9" t="s">
        <v>49</v>
      </c>
      <c r="U3" s="9" t="s">
        <v>45</v>
      </c>
      <c r="V3" s="10">
        <v>-41.286499999999997</v>
      </c>
      <c r="W3" s="10">
        <v>174.77619999999999</v>
      </c>
      <c r="X3" s="10">
        <v>1860</v>
      </c>
      <c r="Y3" s="9" t="s">
        <v>46</v>
      </c>
      <c r="Z3" s="10">
        <v>1860</v>
      </c>
      <c r="AA3" s="9" t="s">
        <v>46</v>
      </c>
      <c r="AB3" s="9" t="s">
        <v>55</v>
      </c>
      <c r="AC3" s="9" t="s">
        <v>56</v>
      </c>
      <c r="AD3" s="11"/>
      <c r="AE3" s="10">
        <v>75</v>
      </c>
      <c r="AF3" s="10">
        <v>75</v>
      </c>
      <c r="AG3" s="10">
        <v>90</v>
      </c>
      <c r="AH3" s="10">
        <v>90</v>
      </c>
      <c r="AI3" s="10">
        <v>15</v>
      </c>
      <c r="AJ3" s="10">
        <v>15</v>
      </c>
      <c r="AK3" s="10">
        <v>15</v>
      </c>
      <c r="AL3" s="10">
        <v>0</v>
      </c>
      <c r="AM3" s="9" t="s">
        <v>57</v>
      </c>
    </row>
    <row r="4" spans="1:39" ht="20" customHeight="1" x14ac:dyDescent="0.15">
      <c r="A4" s="7">
        <v>92795779</v>
      </c>
      <c r="B4" s="8">
        <v>22678955</v>
      </c>
      <c r="C4" s="9" t="s">
        <v>38</v>
      </c>
      <c r="D4" s="9" t="s">
        <v>39</v>
      </c>
      <c r="E4" s="9" t="s">
        <v>40</v>
      </c>
      <c r="F4" s="9" t="s">
        <v>41</v>
      </c>
      <c r="G4" s="9" t="s">
        <v>42</v>
      </c>
      <c r="H4" s="9" t="s">
        <v>58</v>
      </c>
      <c r="I4" s="10">
        <v>1</v>
      </c>
      <c r="J4" s="9" t="s">
        <v>44</v>
      </c>
      <c r="K4" s="9" t="s">
        <v>45</v>
      </c>
      <c r="L4" s="10">
        <v>-41.286499999999997</v>
      </c>
      <c r="M4" s="10">
        <v>174.77619999999999</v>
      </c>
      <c r="N4" s="10">
        <v>1875</v>
      </c>
      <c r="O4" s="9" t="s">
        <v>46</v>
      </c>
      <c r="P4" s="10">
        <v>1875</v>
      </c>
      <c r="Q4" s="9" t="s">
        <v>46</v>
      </c>
      <c r="R4" s="9" t="s">
        <v>47</v>
      </c>
      <c r="S4" s="9" t="s">
        <v>48</v>
      </c>
      <c r="T4" s="9" t="s">
        <v>49</v>
      </c>
      <c r="U4" s="9" t="s">
        <v>45</v>
      </c>
      <c r="V4" s="10">
        <v>-41.286499999999997</v>
      </c>
      <c r="W4" s="10">
        <v>174.77619999999999</v>
      </c>
      <c r="X4" s="10">
        <v>1790</v>
      </c>
      <c r="Y4" s="9" t="s">
        <v>46</v>
      </c>
      <c r="Z4" s="10">
        <v>1790</v>
      </c>
      <c r="AA4" s="9" t="s">
        <v>46</v>
      </c>
      <c r="AB4" s="9" t="s">
        <v>55</v>
      </c>
      <c r="AC4" s="9" t="s">
        <v>56</v>
      </c>
      <c r="AD4" s="11"/>
      <c r="AE4" s="10">
        <v>75</v>
      </c>
      <c r="AF4" s="10">
        <v>75</v>
      </c>
      <c r="AG4" s="10">
        <v>160</v>
      </c>
      <c r="AH4" s="10">
        <v>160</v>
      </c>
      <c r="AI4" s="10">
        <v>85</v>
      </c>
      <c r="AJ4" s="10">
        <v>85</v>
      </c>
      <c r="AK4" s="10">
        <v>85</v>
      </c>
      <c r="AL4" s="10">
        <v>0</v>
      </c>
      <c r="AM4" s="9" t="s">
        <v>57</v>
      </c>
    </row>
    <row r="5" spans="1:39" ht="20" customHeight="1" x14ac:dyDescent="0.15">
      <c r="A5" s="7">
        <v>92795779</v>
      </c>
      <c r="B5" s="8">
        <v>22678955</v>
      </c>
      <c r="C5" s="9" t="s">
        <v>38</v>
      </c>
      <c r="D5" s="9" t="s">
        <v>39</v>
      </c>
      <c r="E5" s="9" t="s">
        <v>40</v>
      </c>
      <c r="F5" s="9" t="s">
        <v>41</v>
      </c>
      <c r="G5" s="9" t="s">
        <v>42</v>
      </c>
      <c r="H5" s="9" t="s">
        <v>59</v>
      </c>
      <c r="I5" s="10">
        <v>0</v>
      </c>
      <c r="J5" s="9" t="s">
        <v>44</v>
      </c>
      <c r="K5" s="9" t="s">
        <v>45</v>
      </c>
      <c r="L5" s="10">
        <v>-41.286499999999997</v>
      </c>
      <c r="M5" s="10">
        <v>174.77619999999999</v>
      </c>
      <c r="N5" s="10">
        <v>1875</v>
      </c>
      <c r="O5" s="9" t="s">
        <v>46</v>
      </c>
      <c r="P5" s="10">
        <v>1875</v>
      </c>
      <c r="Q5" s="9" t="s">
        <v>46</v>
      </c>
      <c r="R5" s="9" t="s">
        <v>47</v>
      </c>
      <c r="S5" s="9" t="s">
        <v>48</v>
      </c>
      <c r="T5" s="9" t="s">
        <v>49</v>
      </c>
      <c r="U5" s="9" t="s">
        <v>45</v>
      </c>
      <c r="V5" s="10">
        <v>-41.286499999999997</v>
      </c>
      <c r="W5" s="10">
        <v>174.77619999999999</v>
      </c>
      <c r="X5" s="10">
        <v>1824</v>
      </c>
      <c r="Y5" s="9" t="s">
        <v>46</v>
      </c>
      <c r="Z5" s="10">
        <v>1824</v>
      </c>
      <c r="AA5" s="9" t="s">
        <v>46</v>
      </c>
      <c r="AB5" s="9" t="s">
        <v>55</v>
      </c>
      <c r="AC5" s="9" t="s">
        <v>56</v>
      </c>
      <c r="AD5" s="11"/>
      <c r="AE5" s="10">
        <v>75</v>
      </c>
      <c r="AF5" s="10">
        <v>75</v>
      </c>
      <c r="AG5" s="10">
        <v>126</v>
      </c>
      <c r="AH5" s="10">
        <v>126</v>
      </c>
      <c r="AI5" s="10">
        <v>51</v>
      </c>
      <c r="AJ5" s="10">
        <v>51</v>
      </c>
      <c r="AK5" s="10">
        <v>51</v>
      </c>
      <c r="AL5" s="10">
        <v>0</v>
      </c>
      <c r="AM5" s="9" t="s">
        <v>57</v>
      </c>
    </row>
    <row r="6" spans="1:39" ht="20" customHeight="1" x14ac:dyDescent="0.15">
      <c r="A6" s="7">
        <v>92864737</v>
      </c>
      <c r="B6" s="8">
        <v>22680496</v>
      </c>
      <c r="C6" s="9" t="s">
        <v>60</v>
      </c>
      <c r="D6" s="9" t="s">
        <v>61</v>
      </c>
      <c r="E6" s="9" t="s">
        <v>40</v>
      </c>
      <c r="F6" s="9" t="s">
        <v>41</v>
      </c>
      <c r="G6" s="9" t="s">
        <v>58</v>
      </c>
      <c r="H6" s="9" t="s">
        <v>58</v>
      </c>
      <c r="I6" s="10">
        <v>1</v>
      </c>
      <c r="J6" s="9" t="s">
        <v>44</v>
      </c>
      <c r="K6" s="9" t="s">
        <v>62</v>
      </c>
      <c r="L6" s="10">
        <v>-50.882390000000001</v>
      </c>
      <c r="M6" s="10">
        <v>166.060652</v>
      </c>
      <c r="N6" s="10">
        <v>1902</v>
      </c>
      <c r="O6" s="9" t="s">
        <v>46</v>
      </c>
      <c r="P6" s="10">
        <v>1902</v>
      </c>
      <c r="Q6" s="9" t="s">
        <v>46</v>
      </c>
      <c r="R6" s="9" t="s">
        <v>63</v>
      </c>
      <c r="S6" s="9" t="s">
        <v>64</v>
      </c>
      <c r="T6" s="11"/>
      <c r="U6" s="9" t="s">
        <v>62</v>
      </c>
      <c r="V6" s="10">
        <v>-50.745516000000002</v>
      </c>
      <c r="W6" s="10">
        <v>166.07365100000001</v>
      </c>
      <c r="X6" s="10">
        <v>1806</v>
      </c>
      <c r="Y6" s="9" t="s">
        <v>46</v>
      </c>
      <c r="Z6" s="10">
        <v>1869</v>
      </c>
      <c r="AA6" s="9" t="s">
        <v>46</v>
      </c>
      <c r="AB6" s="9" t="s">
        <v>65</v>
      </c>
      <c r="AC6" s="9" t="s">
        <v>66</v>
      </c>
      <c r="AD6" s="11"/>
      <c r="AE6" s="10">
        <v>48</v>
      </c>
      <c r="AF6" s="10">
        <v>48</v>
      </c>
      <c r="AG6" s="10">
        <v>144</v>
      </c>
      <c r="AH6" s="10">
        <v>81</v>
      </c>
      <c r="AI6" s="10">
        <v>33</v>
      </c>
      <c r="AJ6" s="10">
        <v>96</v>
      </c>
      <c r="AK6" s="10">
        <v>64.5</v>
      </c>
      <c r="AL6" s="10">
        <v>-63</v>
      </c>
      <c r="AM6" s="9" t="s">
        <v>57</v>
      </c>
    </row>
    <row r="7" spans="1:39" ht="20" customHeight="1" x14ac:dyDescent="0.15">
      <c r="A7" s="7">
        <v>93016420</v>
      </c>
      <c r="B7" s="8">
        <v>22684143</v>
      </c>
      <c r="C7" s="9" t="s">
        <v>67</v>
      </c>
      <c r="D7" s="9" t="s">
        <v>68</v>
      </c>
      <c r="E7" s="9" t="s">
        <v>40</v>
      </c>
      <c r="F7" s="9" t="s">
        <v>41</v>
      </c>
      <c r="G7" s="9" t="s">
        <v>42</v>
      </c>
      <c r="H7" s="9" t="s">
        <v>54</v>
      </c>
      <c r="I7" s="10">
        <v>1</v>
      </c>
      <c r="J7" s="9" t="s">
        <v>44</v>
      </c>
      <c r="K7" s="9" t="s">
        <v>69</v>
      </c>
      <c r="L7" s="10">
        <v>-16.898928000000002</v>
      </c>
      <c r="M7" s="10">
        <v>49.907651999999999</v>
      </c>
      <c r="N7" s="10">
        <v>1834</v>
      </c>
      <c r="O7" s="9" t="s">
        <v>46</v>
      </c>
      <c r="P7" s="10">
        <v>1929</v>
      </c>
      <c r="Q7" s="9" t="s">
        <v>46</v>
      </c>
      <c r="R7" s="9" t="s">
        <v>47</v>
      </c>
      <c r="S7" s="9" t="s">
        <v>70</v>
      </c>
      <c r="T7" s="11"/>
      <c r="U7" s="9" t="s">
        <v>71</v>
      </c>
      <c r="V7" s="10">
        <v>-16.838709000000001</v>
      </c>
      <c r="W7" s="10">
        <v>49.760978999999999</v>
      </c>
      <c r="X7" s="10">
        <v>3000</v>
      </c>
      <c r="Y7" s="9" t="s">
        <v>72</v>
      </c>
      <c r="Z7" s="10">
        <v>900</v>
      </c>
      <c r="AA7" s="9" t="s">
        <v>46</v>
      </c>
      <c r="AB7" s="9" t="s">
        <v>73</v>
      </c>
      <c r="AC7" s="9" t="s">
        <v>74</v>
      </c>
      <c r="AD7" s="11"/>
      <c r="AE7" s="10">
        <v>116</v>
      </c>
      <c r="AF7" s="10">
        <v>21</v>
      </c>
      <c r="AG7" s="10">
        <v>3000</v>
      </c>
      <c r="AH7" s="10">
        <v>1050</v>
      </c>
      <c r="AI7" s="10">
        <v>934</v>
      </c>
      <c r="AJ7" s="10">
        <v>2979</v>
      </c>
      <c r="AK7" s="10">
        <v>1956.5</v>
      </c>
      <c r="AL7" s="10">
        <v>-2045</v>
      </c>
      <c r="AM7" s="9" t="s">
        <v>53</v>
      </c>
    </row>
    <row r="8" spans="1:39" ht="20" customHeight="1" x14ac:dyDescent="0.15">
      <c r="A8" s="7">
        <v>93016420</v>
      </c>
      <c r="B8" s="8">
        <v>22684143</v>
      </c>
      <c r="C8" s="9" t="s">
        <v>67</v>
      </c>
      <c r="D8" s="9" t="s">
        <v>68</v>
      </c>
      <c r="E8" s="9" t="s">
        <v>40</v>
      </c>
      <c r="F8" s="9" t="s">
        <v>41</v>
      </c>
      <c r="G8" s="9" t="s">
        <v>42</v>
      </c>
      <c r="H8" s="9" t="s">
        <v>58</v>
      </c>
      <c r="I8" s="10">
        <v>1</v>
      </c>
      <c r="J8" s="9" t="s">
        <v>44</v>
      </c>
      <c r="K8" s="9" t="s">
        <v>69</v>
      </c>
      <c r="L8" s="10">
        <v>-16.898928000000002</v>
      </c>
      <c r="M8" s="10">
        <v>49.907651999999999</v>
      </c>
      <c r="N8" s="10">
        <v>1834</v>
      </c>
      <c r="O8" s="9" t="s">
        <v>46</v>
      </c>
      <c r="P8" s="10">
        <v>1929</v>
      </c>
      <c r="Q8" s="9" t="s">
        <v>46</v>
      </c>
      <c r="R8" s="9" t="s">
        <v>47</v>
      </c>
      <c r="S8" s="9" t="s">
        <v>70</v>
      </c>
      <c r="T8" s="11"/>
      <c r="U8" s="9" t="s">
        <v>71</v>
      </c>
      <c r="V8" s="10">
        <v>-16.838709000000001</v>
      </c>
      <c r="W8" s="10">
        <v>49.760978999999999</v>
      </c>
      <c r="X8" s="10">
        <v>1730</v>
      </c>
      <c r="Y8" s="9" t="s">
        <v>46</v>
      </c>
      <c r="Z8" s="10">
        <v>1739</v>
      </c>
      <c r="AA8" s="9" t="s">
        <v>46</v>
      </c>
      <c r="AB8" s="9" t="s">
        <v>75</v>
      </c>
      <c r="AC8" s="9" t="s">
        <v>76</v>
      </c>
      <c r="AD8" s="11"/>
      <c r="AE8" s="10">
        <v>116</v>
      </c>
      <c r="AF8" s="10">
        <v>21</v>
      </c>
      <c r="AG8" s="10">
        <v>220</v>
      </c>
      <c r="AH8" s="10">
        <v>211</v>
      </c>
      <c r="AI8" s="10">
        <v>95</v>
      </c>
      <c r="AJ8" s="10">
        <v>199</v>
      </c>
      <c r="AK8" s="10">
        <v>147</v>
      </c>
      <c r="AL8" s="10">
        <v>-104</v>
      </c>
      <c r="AM8" s="9" t="s">
        <v>57</v>
      </c>
    </row>
    <row r="9" spans="1:39" ht="20" customHeight="1" x14ac:dyDescent="0.15">
      <c r="A9" s="7">
        <v>93016420</v>
      </c>
      <c r="B9" s="8">
        <v>22684143</v>
      </c>
      <c r="C9" s="9" t="s">
        <v>67</v>
      </c>
      <c r="D9" s="9" t="s">
        <v>68</v>
      </c>
      <c r="E9" s="9" t="s">
        <v>40</v>
      </c>
      <c r="F9" s="9" t="s">
        <v>41</v>
      </c>
      <c r="G9" s="9" t="s">
        <v>42</v>
      </c>
      <c r="H9" s="9" t="s">
        <v>59</v>
      </c>
      <c r="I9" s="10">
        <v>0</v>
      </c>
      <c r="J9" s="9" t="s">
        <v>44</v>
      </c>
      <c r="K9" s="9" t="s">
        <v>69</v>
      </c>
      <c r="L9" s="10">
        <v>-16.898928000000002</v>
      </c>
      <c r="M9" s="10">
        <v>49.907651999999999</v>
      </c>
      <c r="N9" s="10">
        <v>1834</v>
      </c>
      <c r="O9" s="9" t="s">
        <v>46</v>
      </c>
      <c r="P9" s="10">
        <v>1929</v>
      </c>
      <c r="Q9" s="9" t="s">
        <v>46</v>
      </c>
      <c r="R9" s="9" t="s">
        <v>47</v>
      </c>
      <c r="S9" s="9" t="s">
        <v>70</v>
      </c>
      <c r="T9" s="11"/>
      <c r="U9" s="9" t="s">
        <v>71</v>
      </c>
      <c r="V9" s="10">
        <v>-16.838709000000001</v>
      </c>
      <c r="W9" s="10">
        <v>49.760978999999999</v>
      </c>
      <c r="X9" s="10">
        <v>701</v>
      </c>
      <c r="Y9" s="9" t="s">
        <v>46</v>
      </c>
      <c r="Z9" s="10">
        <v>1100</v>
      </c>
      <c r="AA9" s="9" t="s">
        <v>46</v>
      </c>
      <c r="AB9" s="9" t="s">
        <v>77</v>
      </c>
      <c r="AC9" s="9" t="s">
        <v>78</v>
      </c>
      <c r="AD9" s="11"/>
      <c r="AE9" s="10">
        <v>116</v>
      </c>
      <c r="AF9" s="10">
        <v>21</v>
      </c>
      <c r="AG9" s="10">
        <v>1249</v>
      </c>
      <c r="AH9" s="10">
        <v>850</v>
      </c>
      <c r="AI9" s="10">
        <v>734</v>
      </c>
      <c r="AJ9" s="10">
        <v>1228</v>
      </c>
      <c r="AK9" s="10">
        <v>981</v>
      </c>
      <c r="AL9" s="10">
        <v>-494</v>
      </c>
      <c r="AM9" s="9" t="s">
        <v>53</v>
      </c>
    </row>
    <row r="10" spans="1:39" ht="20" customHeight="1" x14ac:dyDescent="0.15">
      <c r="A10" s="7">
        <v>93265793</v>
      </c>
      <c r="B10" s="8">
        <v>22690218</v>
      </c>
      <c r="C10" s="9" t="s">
        <v>79</v>
      </c>
      <c r="D10" s="9" t="s">
        <v>80</v>
      </c>
      <c r="E10" s="9" t="s">
        <v>40</v>
      </c>
      <c r="F10" s="9" t="s">
        <v>41</v>
      </c>
      <c r="G10" s="9" t="s">
        <v>42</v>
      </c>
      <c r="H10" s="9" t="s">
        <v>54</v>
      </c>
      <c r="I10" s="10">
        <v>1</v>
      </c>
      <c r="J10" s="9" t="s">
        <v>44</v>
      </c>
      <c r="K10" s="9" t="s">
        <v>81</v>
      </c>
      <c r="L10" s="10">
        <v>27.078337999999999</v>
      </c>
      <c r="M10" s="10">
        <v>142.21480199999999</v>
      </c>
      <c r="N10" s="10">
        <v>1889</v>
      </c>
      <c r="O10" s="9" t="s">
        <v>46</v>
      </c>
      <c r="P10" s="10">
        <v>1889</v>
      </c>
      <c r="Q10" s="9" t="s">
        <v>46</v>
      </c>
      <c r="R10" s="9" t="s">
        <v>47</v>
      </c>
      <c r="S10" s="9" t="s">
        <v>82</v>
      </c>
      <c r="T10" s="11"/>
      <c r="U10" s="9" t="s">
        <v>83</v>
      </c>
      <c r="V10" s="10">
        <v>27.078337999999999</v>
      </c>
      <c r="W10" s="10">
        <v>142.21480199999999</v>
      </c>
      <c r="X10" s="10">
        <v>1901</v>
      </c>
      <c r="Y10" s="9" t="s">
        <v>46</v>
      </c>
      <c r="Z10" s="10">
        <v>1925</v>
      </c>
      <c r="AA10" s="9" t="s">
        <v>46</v>
      </c>
      <c r="AB10" s="9" t="s">
        <v>84</v>
      </c>
      <c r="AC10" s="9" t="s">
        <v>85</v>
      </c>
      <c r="AD10" s="11"/>
      <c r="AE10" s="10">
        <v>61</v>
      </c>
      <c r="AF10" s="10">
        <v>61</v>
      </c>
      <c r="AG10" s="10">
        <v>49</v>
      </c>
      <c r="AH10" s="10">
        <v>25</v>
      </c>
      <c r="AI10" s="10">
        <v>-36</v>
      </c>
      <c r="AJ10" s="10">
        <v>-12</v>
      </c>
      <c r="AK10" s="10">
        <v>-24</v>
      </c>
      <c r="AL10" s="10">
        <v>-24</v>
      </c>
      <c r="AM10" s="9" t="s">
        <v>86</v>
      </c>
    </row>
    <row r="11" spans="1:39" ht="20" customHeight="1" x14ac:dyDescent="0.15">
      <c r="A11" s="7">
        <v>93265793</v>
      </c>
      <c r="B11" s="8">
        <v>22690218</v>
      </c>
      <c r="C11" s="9" t="s">
        <v>79</v>
      </c>
      <c r="D11" s="9" t="s">
        <v>80</v>
      </c>
      <c r="E11" s="9" t="s">
        <v>40</v>
      </c>
      <c r="F11" s="9" t="s">
        <v>41</v>
      </c>
      <c r="G11" s="9" t="s">
        <v>42</v>
      </c>
      <c r="H11" s="9" t="s">
        <v>58</v>
      </c>
      <c r="I11" s="10">
        <v>1</v>
      </c>
      <c r="J11" s="9" t="s">
        <v>44</v>
      </c>
      <c r="K11" s="9" t="s">
        <v>81</v>
      </c>
      <c r="L11" s="10">
        <v>27.078337999999999</v>
      </c>
      <c r="M11" s="10">
        <v>142.21480199999999</v>
      </c>
      <c r="N11" s="10">
        <v>1889</v>
      </c>
      <c r="O11" s="9" t="s">
        <v>46</v>
      </c>
      <c r="P11" s="10">
        <v>1889</v>
      </c>
      <c r="Q11" s="9" t="s">
        <v>46</v>
      </c>
      <c r="R11" s="9" t="s">
        <v>47</v>
      </c>
      <c r="S11" s="9" t="s">
        <v>87</v>
      </c>
      <c r="T11" s="11"/>
      <c r="U11" s="9" t="s">
        <v>83</v>
      </c>
      <c r="V11" s="10">
        <v>27.078337999999999</v>
      </c>
      <c r="W11" s="10">
        <v>142.21480199999999</v>
      </c>
      <c r="X11" s="10">
        <v>1603</v>
      </c>
      <c r="Y11" s="9" t="s">
        <v>46</v>
      </c>
      <c r="Z11" s="10">
        <v>1868</v>
      </c>
      <c r="AA11" s="9" t="s">
        <v>46</v>
      </c>
      <c r="AB11" s="9" t="s">
        <v>84</v>
      </c>
      <c r="AC11" s="9" t="s">
        <v>88</v>
      </c>
      <c r="AD11" s="11"/>
      <c r="AE11" s="10">
        <v>61</v>
      </c>
      <c r="AF11" s="10">
        <v>61</v>
      </c>
      <c r="AG11" s="10">
        <v>347</v>
      </c>
      <c r="AH11" s="10">
        <v>82</v>
      </c>
      <c r="AI11" s="10">
        <v>21</v>
      </c>
      <c r="AJ11" s="10">
        <v>286</v>
      </c>
      <c r="AK11" s="10">
        <v>153.5</v>
      </c>
      <c r="AL11" s="10">
        <v>-265</v>
      </c>
      <c r="AM11" s="9" t="s">
        <v>57</v>
      </c>
    </row>
    <row r="12" spans="1:39" ht="20" customHeight="1" x14ac:dyDescent="0.15">
      <c r="A12" s="7">
        <v>93265793</v>
      </c>
      <c r="B12" s="8">
        <v>22690218</v>
      </c>
      <c r="C12" s="9" t="s">
        <v>79</v>
      </c>
      <c r="D12" s="9" t="s">
        <v>80</v>
      </c>
      <c r="E12" s="9" t="s">
        <v>40</v>
      </c>
      <c r="F12" s="9" t="s">
        <v>41</v>
      </c>
      <c r="G12" s="9" t="s">
        <v>42</v>
      </c>
      <c r="H12" s="9" t="s">
        <v>59</v>
      </c>
      <c r="I12" s="10">
        <v>0</v>
      </c>
      <c r="J12" s="9" t="s">
        <v>44</v>
      </c>
      <c r="K12" s="9" t="s">
        <v>81</v>
      </c>
      <c r="L12" s="10">
        <v>27.078337999999999</v>
      </c>
      <c r="M12" s="10">
        <v>142.21480199999999</v>
      </c>
      <c r="N12" s="10">
        <v>1889</v>
      </c>
      <c r="O12" s="9" t="s">
        <v>46</v>
      </c>
      <c r="P12" s="10">
        <v>1889</v>
      </c>
      <c r="Q12" s="9" t="s">
        <v>46</v>
      </c>
      <c r="R12" s="9" t="s">
        <v>47</v>
      </c>
      <c r="S12" s="9" t="s">
        <v>89</v>
      </c>
      <c r="T12" s="11"/>
      <c r="U12" s="9" t="s">
        <v>83</v>
      </c>
      <c r="V12" s="10">
        <v>27.078337999999999</v>
      </c>
      <c r="W12" s="10">
        <v>142.21480199999999</v>
      </c>
      <c r="X12" s="10">
        <v>1603</v>
      </c>
      <c r="Y12" s="9" t="s">
        <v>46</v>
      </c>
      <c r="Z12" s="10">
        <v>1868</v>
      </c>
      <c r="AA12" s="9" t="s">
        <v>46</v>
      </c>
      <c r="AB12" s="9" t="s">
        <v>84</v>
      </c>
      <c r="AC12" s="9" t="s">
        <v>90</v>
      </c>
      <c r="AD12" s="11"/>
      <c r="AE12" s="10">
        <v>61</v>
      </c>
      <c r="AF12" s="10">
        <v>61</v>
      </c>
      <c r="AG12" s="10">
        <v>347</v>
      </c>
      <c r="AH12" s="10">
        <v>82</v>
      </c>
      <c r="AI12" s="10">
        <v>21</v>
      </c>
      <c r="AJ12" s="10">
        <v>286</v>
      </c>
      <c r="AK12" s="10">
        <v>153.5</v>
      </c>
      <c r="AL12" s="10">
        <v>-265</v>
      </c>
      <c r="AM12" s="9" t="s">
        <v>57</v>
      </c>
    </row>
    <row r="13" spans="1:39" ht="20" customHeight="1" x14ac:dyDescent="0.15">
      <c r="A13" s="7">
        <v>93301654</v>
      </c>
      <c r="B13" s="8">
        <v>22691056</v>
      </c>
      <c r="C13" s="9" t="s">
        <v>91</v>
      </c>
      <c r="D13" s="9" t="s">
        <v>92</v>
      </c>
      <c r="E13" s="9" t="s">
        <v>93</v>
      </c>
      <c r="F13" s="9" t="s">
        <v>41</v>
      </c>
      <c r="G13" s="9" t="s">
        <v>42</v>
      </c>
      <c r="H13" s="9" t="s">
        <v>43</v>
      </c>
      <c r="I13" s="10">
        <v>1</v>
      </c>
      <c r="J13" s="9" t="s">
        <v>44</v>
      </c>
      <c r="K13" s="9" t="s">
        <v>94</v>
      </c>
      <c r="L13" s="10">
        <v>-10.519873799999999</v>
      </c>
      <c r="M13" s="10">
        <v>161.82304009999999</v>
      </c>
      <c r="N13" s="10">
        <v>1927</v>
      </c>
      <c r="O13" s="9" t="s">
        <v>46</v>
      </c>
      <c r="P13" s="10">
        <v>1994</v>
      </c>
      <c r="Q13" s="9" t="s">
        <v>46</v>
      </c>
      <c r="R13" s="9" t="s">
        <v>47</v>
      </c>
      <c r="S13" s="9" t="s">
        <v>95</v>
      </c>
      <c r="T13" s="11"/>
      <c r="U13" s="9" t="s">
        <v>96</v>
      </c>
      <c r="V13" s="10">
        <v>-8.0411988999999995</v>
      </c>
      <c r="W13" s="10">
        <v>159.2113008</v>
      </c>
      <c r="X13" s="10">
        <v>2700</v>
      </c>
      <c r="Y13" s="9" t="s">
        <v>72</v>
      </c>
      <c r="Z13" s="10">
        <v>1610</v>
      </c>
      <c r="AA13" s="9" t="s">
        <v>72</v>
      </c>
      <c r="AB13" s="9" t="s">
        <v>97</v>
      </c>
      <c r="AC13" s="9" t="s">
        <v>98</v>
      </c>
      <c r="AD13" s="11"/>
      <c r="AE13" s="10">
        <v>23</v>
      </c>
      <c r="AF13" s="10">
        <v>-44</v>
      </c>
      <c r="AG13" s="16">
        <v>2700</v>
      </c>
      <c r="AH13" s="16">
        <v>1610</v>
      </c>
      <c r="AI13" s="16">
        <v>1587</v>
      </c>
      <c r="AJ13" s="16">
        <v>2744</v>
      </c>
      <c r="AK13" s="16">
        <v>2165.5</v>
      </c>
      <c r="AL13" s="16">
        <v>-1157</v>
      </c>
      <c r="AM13" s="9" t="s">
        <v>99</v>
      </c>
    </row>
    <row r="14" spans="1:39" ht="20" customHeight="1" x14ac:dyDescent="0.15">
      <c r="A14" s="7">
        <v>93301654</v>
      </c>
      <c r="B14" s="8">
        <v>22691056</v>
      </c>
      <c r="C14" s="9" t="s">
        <v>91</v>
      </c>
      <c r="D14" s="9" t="s">
        <v>92</v>
      </c>
      <c r="E14" s="9" t="s">
        <v>93</v>
      </c>
      <c r="F14" s="9" t="s">
        <v>41</v>
      </c>
      <c r="G14" s="9" t="s">
        <v>42</v>
      </c>
      <c r="H14" s="9" t="s">
        <v>54</v>
      </c>
      <c r="I14" s="10">
        <v>1</v>
      </c>
      <c r="J14" s="9" t="s">
        <v>44</v>
      </c>
      <c r="K14" s="9" t="s">
        <v>94</v>
      </c>
      <c r="L14" s="10">
        <v>-10.519873799999999</v>
      </c>
      <c r="M14" s="10">
        <v>161.82304009999999</v>
      </c>
      <c r="N14" s="10">
        <v>1927</v>
      </c>
      <c r="O14" s="9" t="s">
        <v>46</v>
      </c>
      <c r="P14" s="10">
        <v>1994</v>
      </c>
      <c r="Q14" s="9" t="s">
        <v>46</v>
      </c>
      <c r="R14" s="9" t="s">
        <v>47</v>
      </c>
      <c r="S14" s="9" t="s">
        <v>95</v>
      </c>
      <c r="T14" s="11"/>
      <c r="U14" s="9" t="s">
        <v>100</v>
      </c>
      <c r="V14" s="10">
        <v>-9.6392550000000004</v>
      </c>
      <c r="W14" s="10">
        <v>160.24856199999999</v>
      </c>
      <c r="X14" s="10">
        <v>1700</v>
      </c>
      <c r="Y14" s="9" t="s">
        <v>46</v>
      </c>
      <c r="Z14" s="10">
        <v>1725</v>
      </c>
      <c r="AA14" s="9" t="s">
        <v>46</v>
      </c>
      <c r="AB14" s="9" t="s">
        <v>101</v>
      </c>
      <c r="AC14" s="9" t="s">
        <v>102</v>
      </c>
      <c r="AD14" s="11"/>
      <c r="AE14" s="10">
        <v>23</v>
      </c>
      <c r="AF14" s="10">
        <v>-44</v>
      </c>
      <c r="AG14" s="16">
        <v>250</v>
      </c>
      <c r="AH14" s="16">
        <v>225</v>
      </c>
      <c r="AI14" s="16">
        <v>202</v>
      </c>
      <c r="AJ14" s="16">
        <v>294</v>
      </c>
      <c r="AK14" s="16">
        <v>248</v>
      </c>
      <c r="AL14" s="16">
        <v>-92</v>
      </c>
      <c r="AM14" s="9" t="s">
        <v>103</v>
      </c>
    </row>
    <row r="15" spans="1:39" ht="20" customHeight="1" x14ac:dyDescent="0.15">
      <c r="A15" s="7">
        <v>93301654</v>
      </c>
      <c r="B15" s="8">
        <v>22691056</v>
      </c>
      <c r="C15" s="9" t="s">
        <v>91</v>
      </c>
      <c r="D15" s="9" t="s">
        <v>92</v>
      </c>
      <c r="E15" s="9" t="s">
        <v>93</v>
      </c>
      <c r="F15" s="9" t="s">
        <v>41</v>
      </c>
      <c r="G15" s="9" t="s">
        <v>42</v>
      </c>
      <c r="H15" s="9" t="s">
        <v>58</v>
      </c>
      <c r="I15" s="10">
        <v>1</v>
      </c>
      <c r="J15" s="9" t="s">
        <v>44</v>
      </c>
      <c r="K15" s="9" t="s">
        <v>94</v>
      </c>
      <c r="L15" s="10">
        <v>-10.519873799999999</v>
      </c>
      <c r="M15" s="10">
        <v>161.82304009999999</v>
      </c>
      <c r="N15" s="10">
        <v>1927</v>
      </c>
      <c r="O15" s="9" t="s">
        <v>46</v>
      </c>
      <c r="P15" s="10">
        <v>1994</v>
      </c>
      <c r="Q15" s="9" t="s">
        <v>46</v>
      </c>
      <c r="R15" s="9" t="s">
        <v>47</v>
      </c>
      <c r="S15" s="9" t="s">
        <v>95</v>
      </c>
      <c r="T15" s="11"/>
      <c r="U15" s="9" t="s">
        <v>100</v>
      </c>
      <c r="V15" s="10">
        <v>-9.6392550000000004</v>
      </c>
      <c r="W15" s="10">
        <v>160.24856199999999</v>
      </c>
      <c r="X15" s="10">
        <v>1700</v>
      </c>
      <c r="Y15" s="9" t="s">
        <v>46</v>
      </c>
      <c r="Z15" s="10">
        <v>1725</v>
      </c>
      <c r="AA15" s="9" t="s">
        <v>46</v>
      </c>
      <c r="AB15" s="9" t="s">
        <v>101</v>
      </c>
      <c r="AC15" s="9" t="s">
        <v>102</v>
      </c>
      <c r="AD15" s="11"/>
      <c r="AE15" s="10">
        <v>23</v>
      </c>
      <c r="AF15" s="10">
        <v>-44</v>
      </c>
      <c r="AG15" s="16">
        <v>250</v>
      </c>
      <c r="AH15" s="16">
        <v>225</v>
      </c>
      <c r="AI15" s="16">
        <v>202</v>
      </c>
      <c r="AJ15" s="16">
        <v>294</v>
      </c>
      <c r="AK15" s="16">
        <v>248</v>
      </c>
      <c r="AL15" s="16">
        <v>-92</v>
      </c>
      <c r="AM15" s="9" t="s">
        <v>103</v>
      </c>
    </row>
    <row r="16" spans="1:39" ht="20" customHeight="1" x14ac:dyDescent="0.15">
      <c r="A16" s="7">
        <v>93314660</v>
      </c>
      <c r="B16" s="8">
        <v>22691495</v>
      </c>
      <c r="C16" s="9" t="s">
        <v>104</v>
      </c>
      <c r="D16" s="13" t="s">
        <v>105</v>
      </c>
      <c r="E16" s="9" t="s">
        <v>40</v>
      </c>
      <c r="F16" s="9" t="s">
        <v>41</v>
      </c>
      <c r="G16" s="9" t="s">
        <v>42</v>
      </c>
      <c r="H16" s="9" t="s">
        <v>43</v>
      </c>
      <c r="I16" s="10">
        <v>1</v>
      </c>
      <c r="J16" s="9" t="s">
        <v>44</v>
      </c>
      <c r="K16" s="9" t="s">
        <v>106</v>
      </c>
      <c r="L16" s="10">
        <v>-9.7793255000000006</v>
      </c>
      <c r="M16" s="10">
        <v>-139.00678350000001</v>
      </c>
      <c r="N16" s="10">
        <v>1922</v>
      </c>
      <c r="O16" s="9" t="s">
        <v>46</v>
      </c>
      <c r="P16" s="10">
        <v>1922</v>
      </c>
      <c r="Q16" s="9" t="s">
        <v>46</v>
      </c>
      <c r="R16" s="9" t="s">
        <v>47</v>
      </c>
      <c r="S16" s="9" t="s">
        <v>107</v>
      </c>
      <c r="T16" s="11"/>
      <c r="U16" s="9" t="s">
        <v>108</v>
      </c>
      <c r="V16" s="10">
        <v>-9.7793255000000006</v>
      </c>
      <c r="W16" s="10">
        <v>-139.00678350000001</v>
      </c>
      <c r="X16" s="10">
        <v>2000</v>
      </c>
      <c r="Y16" s="9" t="s">
        <v>72</v>
      </c>
      <c r="Z16" s="10">
        <v>2000</v>
      </c>
      <c r="AA16" s="9" t="s">
        <v>72</v>
      </c>
      <c r="AB16" s="9" t="s">
        <v>109</v>
      </c>
      <c r="AC16" s="9" t="s">
        <v>110</v>
      </c>
      <c r="AD16" s="11"/>
      <c r="AE16" s="10">
        <v>28</v>
      </c>
      <c r="AF16" s="10">
        <v>28</v>
      </c>
      <c r="AG16" s="16">
        <v>2000</v>
      </c>
      <c r="AH16" s="16">
        <v>2000</v>
      </c>
      <c r="AI16" s="16">
        <v>1972</v>
      </c>
      <c r="AJ16" s="16">
        <v>1972</v>
      </c>
      <c r="AK16" s="16">
        <v>1972</v>
      </c>
      <c r="AL16" s="16">
        <v>0</v>
      </c>
      <c r="AM16" s="9" t="s">
        <v>99</v>
      </c>
    </row>
    <row r="17" spans="1:39" ht="20" customHeight="1" x14ac:dyDescent="0.15">
      <c r="A17" s="7">
        <v>93314660</v>
      </c>
      <c r="B17" s="8">
        <v>22691495</v>
      </c>
      <c r="C17" s="9" t="s">
        <v>104</v>
      </c>
      <c r="D17" s="9" t="s">
        <v>105</v>
      </c>
      <c r="E17" s="9" t="s">
        <v>40</v>
      </c>
      <c r="F17" s="9" t="s">
        <v>41</v>
      </c>
      <c r="G17" s="9" t="s">
        <v>42</v>
      </c>
      <c r="H17" s="9" t="s">
        <v>54</v>
      </c>
      <c r="I17" s="10">
        <v>1</v>
      </c>
      <c r="J17" s="9" t="s">
        <v>44</v>
      </c>
      <c r="K17" s="9" t="s">
        <v>106</v>
      </c>
      <c r="L17" s="10">
        <v>-9.7793255000000006</v>
      </c>
      <c r="M17" s="10">
        <v>-139.00678350000001</v>
      </c>
      <c r="N17" s="10">
        <v>1922</v>
      </c>
      <c r="O17" s="9" t="s">
        <v>46</v>
      </c>
      <c r="P17" s="10">
        <v>1922</v>
      </c>
      <c r="Q17" s="9" t="s">
        <v>46</v>
      </c>
      <c r="R17" s="9" t="s">
        <v>47</v>
      </c>
      <c r="S17" s="9" t="s">
        <v>111</v>
      </c>
      <c r="T17" s="11"/>
      <c r="U17" s="9" t="s">
        <v>106</v>
      </c>
      <c r="V17" s="10">
        <v>-9.7793255000000006</v>
      </c>
      <c r="W17" s="10">
        <v>-139.00678350000001</v>
      </c>
      <c r="X17" s="10">
        <v>1595</v>
      </c>
      <c r="Y17" s="9" t="s">
        <v>46</v>
      </c>
      <c r="Z17" s="16">
        <v>1922</v>
      </c>
      <c r="AA17" s="9" t="s">
        <v>46</v>
      </c>
      <c r="AB17" s="13" t="s">
        <v>534</v>
      </c>
      <c r="AC17" s="13" t="s">
        <v>540</v>
      </c>
      <c r="AD17" s="9" t="s">
        <v>114</v>
      </c>
      <c r="AE17" s="10">
        <v>28</v>
      </c>
      <c r="AF17" s="10">
        <v>28</v>
      </c>
      <c r="AG17" s="16">
        <v>355</v>
      </c>
      <c r="AH17" s="16">
        <v>28</v>
      </c>
      <c r="AI17" s="16">
        <v>0</v>
      </c>
      <c r="AJ17" s="16">
        <v>327</v>
      </c>
      <c r="AK17" s="16">
        <v>163.5</v>
      </c>
      <c r="AL17" s="16">
        <v>-327</v>
      </c>
      <c r="AM17" s="9" t="s">
        <v>57</v>
      </c>
    </row>
    <row r="18" spans="1:39" ht="20" customHeight="1" x14ac:dyDescent="0.15">
      <c r="A18" s="7">
        <v>93314660</v>
      </c>
      <c r="B18" s="8">
        <v>22691495</v>
      </c>
      <c r="C18" s="9" t="s">
        <v>104</v>
      </c>
      <c r="D18" s="9" t="s">
        <v>105</v>
      </c>
      <c r="E18" s="9" t="s">
        <v>40</v>
      </c>
      <c r="F18" s="9" t="s">
        <v>41</v>
      </c>
      <c r="G18" s="9" t="s">
        <v>42</v>
      </c>
      <c r="H18" s="9" t="s">
        <v>58</v>
      </c>
      <c r="I18" s="10">
        <v>1</v>
      </c>
      <c r="J18" s="9" t="s">
        <v>44</v>
      </c>
      <c r="K18" s="9" t="s">
        <v>106</v>
      </c>
      <c r="L18" s="10">
        <v>-9.7793255000000006</v>
      </c>
      <c r="M18" s="10">
        <v>-139.00678350000001</v>
      </c>
      <c r="N18" s="10">
        <v>1922</v>
      </c>
      <c r="O18" s="9" t="s">
        <v>46</v>
      </c>
      <c r="P18" s="10">
        <v>1922</v>
      </c>
      <c r="Q18" s="9" t="s">
        <v>46</v>
      </c>
      <c r="R18" s="9" t="s">
        <v>47</v>
      </c>
      <c r="S18" s="9" t="s">
        <v>111</v>
      </c>
      <c r="T18" s="11"/>
      <c r="U18" s="9" t="s">
        <v>108</v>
      </c>
      <c r="V18" s="10">
        <v>-9.7793255000000006</v>
      </c>
      <c r="W18" s="10">
        <v>-139.00678350000001</v>
      </c>
      <c r="X18" s="10">
        <v>1595</v>
      </c>
      <c r="Y18" s="9" t="s">
        <v>46</v>
      </c>
      <c r="Z18" s="10">
        <v>1800</v>
      </c>
      <c r="AA18" s="9" t="s">
        <v>46</v>
      </c>
      <c r="AB18" s="9" t="s">
        <v>115</v>
      </c>
      <c r="AC18" s="9" t="s">
        <v>113</v>
      </c>
      <c r="AD18" s="9" t="s">
        <v>114</v>
      </c>
      <c r="AE18" s="10">
        <v>28</v>
      </c>
      <c r="AF18" s="10">
        <v>28</v>
      </c>
      <c r="AG18" s="16">
        <v>355</v>
      </c>
      <c r="AH18" s="16">
        <v>150</v>
      </c>
      <c r="AI18" s="16">
        <v>122</v>
      </c>
      <c r="AJ18" s="16">
        <v>327</v>
      </c>
      <c r="AK18" s="16">
        <v>224.5</v>
      </c>
      <c r="AL18" s="16">
        <v>-205</v>
      </c>
      <c r="AM18" s="9" t="s">
        <v>103</v>
      </c>
    </row>
    <row r="19" spans="1:39" ht="20" customHeight="1" x14ac:dyDescent="0.15">
      <c r="A19" s="7">
        <v>93314660</v>
      </c>
      <c r="B19" s="8">
        <v>22691495</v>
      </c>
      <c r="C19" s="9" t="s">
        <v>104</v>
      </c>
      <c r="D19" s="9" t="s">
        <v>105</v>
      </c>
      <c r="E19" s="9" t="s">
        <v>40</v>
      </c>
      <c r="F19" s="9" t="s">
        <v>41</v>
      </c>
      <c r="G19" s="9" t="s">
        <v>42</v>
      </c>
      <c r="H19" s="9" t="s">
        <v>59</v>
      </c>
      <c r="I19" s="10">
        <v>0</v>
      </c>
      <c r="J19" s="9" t="s">
        <v>44</v>
      </c>
      <c r="K19" s="9" t="s">
        <v>106</v>
      </c>
      <c r="L19" s="10">
        <v>-9.7793255000000006</v>
      </c>
      <c r="M19" s="10">
        <v>-139.00678350000001</v>
      </c>
      <c r="N19" s="10">
        <v>1922</v>
      </c>
      <c r="O19" s="9" t="s">
        <v>46</v>
      </c>
      <c r="P19" s="10">
        <v>1922</v>
      </c>
      <c r="Q19" s="9" t="s">
        <v>46</v>
      </c>
      <c r="R19" s="9" t="s">
        <v>47</v>
      </c>
      <c r="S19" s="9" t="s">
        <v>111</v>
      </c>
      <c r="T19" s="11"/>
      <c r="U19" s="9" t="s">
        <v>108</v>
      </c>
      <c r="V19" s="10">
        <v>-9.7793255000000006</v>
      </c>
      <c r="W19" s="10">
        <v>-139.00678350000001</v>
      </c>
      <c r="X19" s="10">
        <v>1595</v>
      </c>
      <c r="Y19" s="9" t="s">
        <v>46</v>
      </c>
      <c r="Z19" s="10">
        <v>1800</v>
      </c>
      <c r="AA19" s="9" t="s">
        <v>46</v>
      </c>
      <c r="AB19" s="9" t="s">
        <v>116</v>
      </c>
      <c r="AC19" s="9" t="s">
        <v>113</v>
      </c>
      <c r="AD19" s="9" t="s">
        <v>114</v>
      </c>
      <c r="AE19" s="10">
        <v>28</v>
      </c>
      <c r="AF19" s="10">
        <v>28</v>
      </c>
      <c r="AG19" s="16">
        <v>355</v>
      </c>
      <c r="AH19" s="16">
        <v>150</v>
      </c>
      <c r="AI19" s="16">
        <v>122</v>
      </c>
      <c r="AJ19" s="16">
        <v>327</v>
      </c>
      <c r="AK19" s="16">
        <v>224.5</v>
      </c>
      <c r="AL19" s="16">
        <v>-205</v>
      </c>
      <c r="AM19" s="9" t="s">
        <v>103</v>
      </c>
    </row>
    <row r="20" spans="1:39" ht="20" customHeight="1" x14ac:dyDescent="0.15">
      <c r="A20" s="7">
        <v>93314660</v>
      </c>
      <c r="B20" s="8">
        <v>22691495</v>
      </c>
      <c r="C20" s="9" t="s">
        <v>104</v>
      </c>
      <c r="D20" s="9" t="s">
        <v>105</v>
      </c>
      <c r="E20" s="9" t="s">
        <v>40</v>
      </c>
      <c r="F20" s="9" t="s">
        <v>41</v>
      </c>
      <c r="G20" s="9" t="s">
        <v>42</v>
      </c>
      <c r="H20" s="9" t="s">
        <v>43</v>
      </c>
      <c r="I20" s="10">
        <v>1</v>
      </c>
      <c r="J20" s="9" t="s">
        <v>44</v>
      </c>
      <c r="K20" s="9" t="s">
        <v>117</v>
      </c>
      <c r="L20" s="10">
        <v>-8.8733103999999994</v>
      </c>
      <c r="M20" s="10">
        <v>-140.12456349999999</v>
      </c>
      <c r="N20" s="10">
        <v>1849</v>
      </c>
      <c r="O20" s="9" t="s">
        <v>46</v>
      </c>
      <c r="P20" s="10">
        <v>1849</v>
      </c>
      <c r="Q20" s="9" t="s">
        <v>46</v>
      </c>
      <c r="R20" s="9" t="s">
        <v>47</v>
      </c>
      <c r="S20" s="9" t="s">
        <v>118</v>
      </c>
      <c r="T20" s="11"/>
      <c r="U20" s="9" t="s">
        <v>108</v>
      </c>
      <c r="V20" s="10">
        <v>-9.7793255000000006</v>
      </c>
      <c r="W20" s="10">
        <v>-139.00678350000001</v>
      </c>
      <c r="X20" s="10">
        <v>2000</v>
      </c>
      <c r="Y20" s="9" t="s">
        <v>72</v>
      </c>
      <c r="Z20" s="10">
        <v>2000</v>
      </c>
      <c r="AA20" s="9" t="s">
        <v>72</v>
      </c>
      <c r="AB20" s="9" t="s">
        <v>109</v>
      </c>
      <c r="AC20" s="9" t="s">
        <v>110</v>
      </c>
      <c r="AD20" s="11"/>
      <c r="AE20" s="10">
        <v>101</v>
      </c>
      <c r="AF20" s="10">
        <v>101</v>
      </c>
      <c r="AG20" s="16">
        <v>2000</v>
      </c>
      <c r="AH20" s="16">
        <v>2000</v>
      </c>
      <c r="AI20" s="16">
        <v>1899</v>
      </c>
      <c r="AJ20" s="16">
        <v>1899</v>
      </c>
      <c r="AK20" s="16">
        <v>1899</v>
      </c>
      <c r="AL20" s="16">
        <v>0</v>
      </c>
      <c r="AM20" s="9" t="s">
        <v>99</v>
      </c>
    </row>
    <row r="21" spans="1:39" ht="20" customHeight="1" x14ac:dyDescent="0.15">
      <c r="A21" s="7">
        <v>93314660</v>
      </c>
      <c r="B21" s="8">
        <v>22691495</v>
      </c>
      <c r="C21" s="9" t="s">
        <v>104</v>
      </c>
      <c r="D21" s="9" t="s">
        <v>105</v>
      </c>
      <c r="E21" s="9" t="s">
        <v>40</v>
      </c>
      <c r="F21" s="9" t="s">
        <v>41</v>
      </c>
      <c r="G21" s="9" t="s">
        <v>42</v>
      </c>
      <c r="H21" s="9" t="s">
        <v>54</v>
      </c>
      <c r="I21" s="10">
        <v>1</v>
      </c>
      <c r="J21" s="9" t="s">
        <v>44</v>
      </c>
      <c r="K21" s="9" t="s">
        <v>117</v>
      </c>
      <c r="L21" s="10">
        <v>-8.8733103999999994</v>
      </c>
      <c r="M21" s="10">
        <v>-140.12456349999999</v>
      </c>
      <c r="N21" s="10">
        <v>1849</v>
      </c>
      <c r="O21" s="9" t="s">
        <v>46</v>
      </c>
      <c r="P21" s="10">
        <v>1849</v>
      </c>
      <c r="Q21" s="9" t="s">
        <v>46</v>
      </c>
      <c r="R21" s="9" t="s">
        <v>47</v>
      </c>
      <c r="S21" s="9" t="s">
        <v>111</v>
      </c>
      <c r="T21" s="11"/>
      <c r="U21" s="9" t="s">
        <v>108</v>
      </c>
      <c r="V21" s="10">
        <v>-9.7793255000000006</v>
      </c>
      <c r="W21" s="10">
        <v>-139.00678350000001</v>
      </c>
      <c r="X21" s="10">
        <v>1595</v>
      </c>
      <c r="Y21" s="9" t="s">
        <v>46</v>
      </c>
      <c r="Z21" s="10">
        <v>1800</v>
      </c>
      <c r="AA21" s="9" t="s">
        <v>46</v>
      </c>
      <c r="AB21" s="9" t="s">
        <v>112</v>
      </c>
      <c r="AC21" s="9" t="s">
        <v>113</v>
      </c>
      <c r="AD21" s="9" t="s">
        <v>114</v>
      </c>
      <c r="AE21" s="10">
        <v>101</v>
      </c>
      <c r="AF21" s="10">
        <v>101</v>
      </c>
      <c r="AG21" s="16">
        <v>355</v>
      </c>
      <c r="AH21" s="16">
        <v>150</v>
      </c>
      <c r="AI21" s="16">
        <v>49</v>
      </c>
      <c r="AJ21" s="16">
        <v>254</v>
      </c>
      <c r="AK21" s="16">
        <v>151.5</v>
      </c>
      <c r="AL21" s="16">
        <v>-205</v>
      </c>
      <c r="AM21" s="9" t="s">
        <v>57</v>
      </c>
    </row>
    <row r="22" spans="1:39" ht="20" customHeight="1" x14ac:dyDescent="0.15">
      <c r="A22" s="7">
        <v>93314660</v>
      </c>
      <c r="B22" s="8">
        <v>22691495</v>
      </c>
      <c r="C22" s="9" t="s">
        <v>104</v>
      </c>
      <c r="D22" s="9" t="s">
        <v>105</v>
      </c>
      <c r="E22" s="9" t="s">
        <v>40</v>
      </c>
      <c r="F22" s="9" t="s">
        <v>41</v>
      </c>
      <c r="G22" s="9" t="s">
        <v>42</v>
      </c>
      <c r="H22" s="9" t="s">
        <v>58</v>
      </c>
      <c r="I22" s="10">
        <v>1</v>
      </c>
      <c r="J22" s="9" t="s">
        <v>44</v>
      </c>
      <c r="K22" s="9" t="s">
        <v>117</v>
      </c>
      <c r="L22" s="10">
        <v>-8.8733103999999994</v>
      </c>
      <c r="M22" s="10">
        <v>-140.12456349999999</v>
      </c>
      <c r="N22" s="10">
        <v>1849</v>
      </c>
      <c r="O22" s="9" t="s">
        <v>46</v>
      </c>
      <c r="P22" s="10">
        <v>1849</v>
      </c>
      <c r="Q22" s="9" t="s">
        <v>46</v>
      </c>
      <c r="R22" s="9" t="s">
        <v>47</v>
      </c>
      <c r="S22" s="9" t="s">
        <v>111</v>
      </c>
      <c r="T22" s="11"/>
      <c r="U22" s="9" t="s">
        <v>108</v>
      </c>
      <c r="V22" s="10">
        <v>-9.7793255000000006</v>
      </c>
      <c r="W22" s="10">
        <v>-139.00678350000001</v>
      </c>
      <c r="X22" s="10">
        <v>1595</v>
      </c>
      <c r="Y22" s="9" t="s">
        <v>46</v>
      </c>
      <c r="Z22" s="10">
        <v>1800</v>
      </c>
      <c r="AA22" s="9" t="s">
        <v>46</v>
      </c>
      <c r="AB22" s="9" t="s">
        <v>115</v>
      </c>
      <c r="AC22" s="9" t="s">
        <v>113</v>
      </c>
      <c r="AD22" s="9" t="s">
        <v>114</v>
      </c>
      <c r="AE22" s="10">
        <v>101</v>
      </c>
      <c r="AF22" s="10">
        <v>101</v>
      </c>
      <c r="AG22" s="16">
        <v>355</v>
      </c>
      <c r="AH22" s="16">
        <v>150</v>
      </c>
      <c r="AI22" s="16">
        <v>49</v>
      </c>
      <c r="AJ22" s="16">
        <v>254</v>
      </c>
      <c r="AK22" s="16">
        <v>151.5</v>
      </c>
      <c r="AL22" s="16">
        <v>-205</v>
      </c>
      <c r="AM22" s="9" t="s">
        <v>57</v>
      </c>
    </row>
    <row r="23" spans="1:39" ht="20" customHeight="1" x14ac:dyDescent="0.15">
      <c r="A23" s="7">
        <v>93314660</v>
      </c>
      <c r="B23" s="8">
        <v>22691495</v>
      </c>
      <c r="C23" s="9" t="s">
        <v>104</v>
      </c>
      <c r="D23" s="9" t="s">
        <v>105</v>
      </c>
      <c r="E23" s="9" t="s">
        <v>40</v>
      </c>
      <c r="F23" s="9" t="s">
        <v>41</v>
      </c>
      <c r="G23" s="9" t="s">
        <v>42</v>
      </c>
      <c r="H23" s="9" t="s">
        <v>59</v>
      </c>
      <c r="I23" s="10">
        <v>0</v>
      </c>
      <c r="J23" s="9" t="s">
        <v>44</v>
      </c>
      <c r="K23" s="9" t="s">
        <v>117</v>
      </c>
      <c r="L23" s="10">
        <v>-8.8733103999999994</v>
      </c>
      <c r="M23" s="10">
        <v>-140.12456349999999</v>
      </c>
      <c r="N23" s="10">
        <v>1849</v>
      </c>
      <c r="O23" s="9" t="s">
        <v>46</v>
      </c>
      <c r="P23" s="10">
        <v>1849</v>
      </c>
      <c r="Q23" s="9" t="s">
        <v>46</v>
      </c>
      <c r="R23" s="9" t="s">
        <v>47</v>
      </c>
      <c r="S23" s="9" t="s">
        <v>111</v>
      </c>
      <c r="T23" s="11"/>
      <c r="U23" s="9" t="s">
        <v>108</v>
      </c>
      <c r="V23" s="10">
        <v>-9.7793255000000006</v>
      </c>
      <c r="W23" s="10">
        <v>-139.00678350000001</v>
      </c>
      <c r="X23" s="10">
        <v>1595</v>
      </c>
      <c r="Y23" s="9" t="s">
        <v>46</v>
      </c>
      <c r="Z23" s="10">
        <v>1800</v>
      </c>
      <c r="AA23" s="9" t="s">
        <v>46</v>
      </c>
      <c r="AB23" s="9" t="s">
        <v>116</v>
      </c>
      <c r="AC23" s="9" t="s">
        <v>113</v>
      </c>
      <c r="AD23" s="9" t="s">
        <v>114</v>
      </c>
      <c r="AE23" s="10">
        <v>101</v>
      </c>
      <c r="AF23" s="10">
        <v>101</v>
      </c>
      <c r="AG23" s="16">
        <v>355</v>
      </c>
      <c r="AH23" s="16">
        <v>150</v>
      </c>
      <c r="AI23" s="16">
        <v>49</v>
      </c>
      <c r="AJ23" s="16">
        <v>254</v>
      </c>
      <c r="AK23" s="16">
        <v>151.5</v>
      </c>
      <c r="AL23" s="16">
        <v>-205</v>
      </c>
      <c r="AM23" s="9" t="s">
        <v>57</v>
      </c>
    </row>
    <row r="24" spans="1:39" ht="20" customHeight="1" x14ac:dyDescent="0.15">
      <c r="A24" s="7">
        <v>93354380</v>
      </c>
      <c r="B24" s="8">
        <v>22692450</v>
      </c>
      <c r="C24" s="9" t="s">
        <v>119</v>
      </c>
      <c r="D24" s="9" t="s">
        <v>120</v>
      </c>
      <c r="E24" s="9" t="s">
        <v>121</v>
      </c>
      <c r="F24" s="9" t="s">
        <v>41</v>
      </c>
      <c r="G24" s="9" t="s">
        <v>42</v>
      </c>
      <c r="H24" s="9" t="s">
        <v>43</v>
      </c>
      <c r="I24" s="10">
        <v>1</v>
      </c>
      <c r="J24" s="9" t="s">
        <v>44</v>
      </c>
      <c r="K24" s="9" t="s">
        <v>122</v>
      </c>
      <c r="L24" s="10">
        <v>-17.687343899999998</v>
      </c>
      <c r="M24" s="10">
        <v>-149.44516809999999</v>
      </c>
      <c r="N24" s="10">
        <v>1875</v>
      </c>
      <c r="O24" s="9" t="s">
        <v>46</v>
      </c>
      <c r="P24" s="10">
        <v>1900</v>
      </c>
      <c r="Q24" s="9" t="s">
        <v>46</v>
      </c>
      <c r="R24" s="9" t="s">
        <v>47</v>
      </c>
      <c r="S24" s="9" t="s">
        <v>123</v>
      </c>
      <c r="T24" s="11"/>
      <c r="U24" s="9" t="s">
        <v>122</v>
      </c>
      <c r="V24" s="10">
        <v>-17.687343899999998</v>
      </c>
      <c r="W24" s="10">
        <v>-149.44516809999999</v>
      </c>
      <c r="X24" s="10">
        <v>520</v>
      </c>
      <c r="Y24" s="9" t="s">
        <v>72</v>
      </c>
      <c r="Z24" s="10">
        <v>640</v>
      </c>
      <c r="AA24" s="9" t="s">
        <v>72</v>
      </c>
      <c r="AB24" s="9" t="s">
        <v>124</v>
      </c>
      <c r="AC24" s="9" t="s">
        <v>125</v>
      </c>
      <c r="AD24" s="9" t="s">
        <v>126</v>
      </c>
      <c r="AE24" s="10">
        <v>75</v>
      </c>
      <c r="AF24" s="10">
        <v>50</v>
      </c>
      <c r="AG24" s="16">
        <v>520</v>
      </c>
      <c r="AH24" s="16">
        <v>640</v>
      </c>
      <c r="AI24" s="16">
        <v>565</v>
      </c>
      <c r="AJ24" s="16">
        <v>470</v>
      </c>
      <c r="AK24" s="16">
        <v>517.5</v>
      </c>
      <c r="AL24" s="16">
        <v>95</v>
      </c>
      <c r="AM24" s="9" t="s">
        <v>53</v>
      </c>
    </row>
    <row r="25" spans="1:39" ht="20" customHeight="1" x14ac:dyDescent="0.15">
      <c r="A25" s="7">
        <v>93354380</v>
      </c>
      <c r="B25" s="8">
        <v>22692450</v>
      </c>
      <c r="C25" s="9" t="s">
        <v>119</v>
      </c>
      <c r="D25" s="9" t="s">
        <v>120</v>
      </c>
      <c r="E25" s="9" t="s">
        <v>121</v>
      </c>
      <c r="F25" s="9" t="s">
        <v>41</v>
      </c>
      <c r="G25" s="9" t="s">
        <v>42</v>
      </c>
      <c r="H25" s="9" t="s">
        <v>54</v>
      </c>
      <c r="I25" s="10">
        <v>1</v>
      </c>
      <c r="J25" s="9" t="s">
        <v>44</v>
      </c>
      <c r="K25" s="9" t="s">
        <v>122</v>
      </c>
      <c r="L25" s="10">
        <v>-17.687343899999998</v>
      </c>
      <c r="M25" s="10">
        <v>-149.44516809999999</v>
      </c>
      <c r="N25" s="10">
        <v>1875</v>
      </c>
      <c r="O25" s="9" t="s">
        <v>46</v>
      </c>
      <c r="P25" s="10">
        <v>1900</v>
      </c>
      <c r="Q25" s="9" t="s">
        <v>46</v>
      </c>
      <c r="R25" s="9" t="s">
        <v>47</v>
      </c>
      <c r="S25" s="9" t="s">
        <v>123</v>
      </c>
      <c r="T25" s="11"/>
      <c r="U25" s="9" t="s">
        <v>122</v>
      </c>
      <c r="V25" s="10">
        <v>-17.687343899999998</v>
      </c>
      <c r="W25" s="10">
        <v>-149.44516809999999</v>
      </c>
      <c r="X25" s="10">
        <v>1768</v>
      </c>
      <c r="Y25" s="9" t="s">
        <v>46</v>
      </c>
      <c r="Z25" s="10">
        <v>1919</v>
      </c>
      <c r="AA25" s="9" t="s">
        <v>46</v>
      </c>
      <c r="AB25" s="9" t="s">
        <v>124</v>
      </c>
      <c r="AC25" s="9" t="s">
        <v>127</v>
      </c>
      <c r="AD25" s="9" t="s">
        <v>126</v>
      </c>
      <c r="AE25" s="10">
        <v>75</v>
      </c>
      <c r="AF25" s="10">
        <v>50</v>
      </c>
      <c r="AG25" s="16">
        <v>182</v>
      </c>
      <c r="AH25" s="16">
        <v>31</v>
      </c>
      <c r="AI25" s="16">
        <v>-44</v>
      </c>
      <c r="AJ25" s="16">
        <v>132</v>
      </c>
      <c r="AK25" s="16">
        <v>44</v>
      </c>
      <c r="AL25" s="16">
        <v>-176</v>
      </c>
      <c r="AM25" s="9" t="s">
        <v>128</v>
      </c>
    </row>
    <row r="26" spans="1:39" ht="20" customHeight="1" x14ac:dyDescent="0.15">
      <c r="A26" s="7">
        <v>93354380</v>
      </c>
      <c r="B26" s="8">
        <v>22692450</v>
      </c>
      <c r="C26" s="9" t="s">
        <v>119</v>
      </c>
      <c r="D26" s="9" t="s">
        <v>120</v>
      </c>
      <c r="E26" s="9" t="s">
        <v>121</v>
      </c>
      <c r="F26" s="9" t="s">
        <v>41</v>
      </c>
      <c r="G26" s="9" t="s">
        <v>42</v>
      </c>
      <c r="H26" s="9" t="s">
        <v>58</v>
      </c>
      <c r="I26" s="10">
        <v>1</v>
      </c>
      <c r="J26" s="9" t="s">
        <v>44</v>
      </c>
      <c r="K26" s="9" t="s">
        <v>122</v>
      </c>
      <c r="L26" s="10">
        <v>-17.687343899999998</v>
      </c>
      <c r="M26" s="10">
        <v>-149.44516809999999</v>
      </c>
      <c r="N26" s="10">
        <v>1875</v>
      </c>
      <c r="O26" s="9" t="s">
        <v>46</v>
      </c>
      <c r="P26" s="10">
        <v>1900</v>
      </c>
      <c r="Q26" s="9" t="s">
        <v>46</v>
      </c>
      <c r="R26" s="9" t="s">
        <v>47</v>
      </c>
      <c r="S26" s="9" t="s">
        <v>123</v>
      </c>
      <c r="T26" s="11"/>
      <c r="U26" s="9" t="s">
        <v>122</v>
      </c>
      <c r="V26" s="10">
        <v>-17.687343899999998</v>
      </c>
      <c r="W26" s="10">
        <v>-149.44516809999999</v>
      </c>
      <c r="X26" s="10">
        <v>1767</v>
      </c>
      <c r="Y26" s="9" t="s">
        <v>46</v>
      </c>
      <c r="Z26" s="10">
        <v>1923</v>
      </c>
      <c r="AA26" s="9" t="s">
        <v>46</v>
      </c>
      <c r="AB26" s="9" t="s">
        <v>124</v>
      </c>
      <c r="AC26" s="9" t="s">
        <v>129</v>
      </c>
      <c r="AD26" s="9" t="s">
        <v>126</v>
      </c>
      <c r="AE26" s="10">
        <v>75</v>
      </c>
      <c r="AF26" s="10">
        <v>50</v>
      </c>
      <c r="AG26" s="16">
        <v>183</v>
      </c>
      <c r="AH26" s="16">
        <v>27</v>
      </c>
      <c r="AI26" s="16">
        <v>-48</v>
      </c>
      <c r="AJ26" s="16">
        <v>133</v>
      </c>
      <c r="AK26" s="16">
        <v>42.5</v>
      </c>
      <c r="AL26" s="16">
        <v>-181</v>
      </c>
      <c r="AM26" s="9" t="s">
        <v>128</v>
      </c>
    </row>
    <row r="27" spans="1:39" ht="20" customHeight="1" x14ac:dyDescent="0.15">
      <c r="A27" s="7">
        <v>93354380</v>
      </c>
      <c r="B27" s="8">
        <v>22692450</v>
      </c>
      <c r="C27" s="9" t="s">
        <v>119</v>
      </c>
      <c r="D27" s="9" t="s">
        <v>120</v>
      </c>
      <c r="E27" s="9" t="s">
        <v>121</v>
      </c>
      <c r="F27" s="9" t="s">
        <v>41</v>
      </c>
      <c r="G27" s="9" t="s">
        <v>42</v>
      </c>
      <c r="H27" s="9" t="s">
        <v>43</v>
      </c>
      <c r="I27" s="10">
        <v>1</v>
      </c>
      <c r="J27" s="9" t="s">
        <v>44</v>
      </c>
      <c r="K27" s="9" t="s">
        <v>130</v>
      </c>
      <c r="L27" s="10">
        <v>-17.875893999999999</v>
      </c>
      <c r="M27" s="10">
        <v>-148.06714500000001</v>
      </c>
      <c r="N27" s="10">
        <v>1930</v>
      </c>
      <c r="O27" s="9" t="s">
        <v>46</v>
      </c>
      <c r="P27" s="10">
        <v>1939</v>
      </c>
      <c r="Q27" s="9" t="s">
        <v>46</v>
      </c>
      <c r="R27" s="9" t="s">
        <v>47</v>
      </c>
      <c r="S27" s="9" t="s">
        <v>123</v>
      </c>
      <c r="T27" s="11"/>
      <c r="U27" s="9" t="s">
        <v>122</v>
      </c>
      <c r="V27" s="10">
        <v>-17.687343899999998</v>
      </c>
      <c r="W27" s="10">
        <v>-149.44516809999999</v>
      </c>
      <c r="X27" s="10">
        <v>520</v>
      </c>
      <c r="Y27" s="9" t="s">
        <v>72</v>
      </c>
      <c r="Z27" s="10">
        <v>640</v>
      </c>
      <c r="AA27" s="9" t="s">
        <v>72</v>
      </c>
      <c r="AB27" s="9" t="s">
        <v>124</v>
      </c>
      <c r="AC27" s="9" t="s">
        <v>125</v>
      </c>
      <c r="AD27" s="9" t="s">
        <v>126</v>
      </c>
      <c r="AE27" s="10">
        <v>20</v>
      </c>
      <c r="AF27" s="10">
        <v>11</v>
      </c>
      <c r="AG27" s="16">
        <v>520</v>
      </c>
      <c r="AH27" s="16">
        <v>640</v>
      </c>
      <c r="AI27" s="16">
        <v>620</v>
      </c>
      <c r="AJ27" s="16">
        <v>509</v>
      </c>
      <c r="AK27" s="16">
        <v>564.5</v>
      </c>
      <c r="AL27" s="16">
        <v>111</v>
      </c>
      <c r="AM27" s="9" t="s">
        <v>53</v>
      </c>
    </row>
    <row r="28" spans="1:39" ht="20" customHeight="1" x14ac:dyDescent="0.15">
      <c r="A28" s="7">
        <v>93354380</v>
      </c>
      <c r="B28" s="8">
        <v>22692450</v>
      </c>
      <c r="C28" s="9" t="s">
        <v>119</v>
      </c>
      <c r="D28" s="9" t="s">
        <v>120</v>
      </c>
      <c r="E28" s="9" t="s">
        <v>121</v>
      </c>
      <c r="F28" s="9" t="s">
        <v>41</v>
      </c>
      <c r="G28" s="9" t="s">
        <v>42</v>
      </c>
      <c r="H28" s="9" t="s">
        <v>54</v>
      </c>
      <c r="I28" s="10">
        <v>1</v>
      </c>
      <c r="J28" s="9" t="s">
        <v>44</v>
      </c>
      <c r="K28" s="9" t="s">
        <v>130</v>
      </c>
      <c r="L28" s="10">
        <v>-17.875893999999999</v>
      </c>
      <c r="M28" s="10">
        <v>-148.06714500000001</v>
      </c>
      <c r="N28" s="10">
        <v>1930</v>
      </c>
      <c r="O28" s="9" t="s">
        <v>46</v>
      </c>
      <c r="P28" s="10">
        <v>1939</v>
      </c>
      <c r="Q28" s="9" t="s">
        <v>46</v>
      </c>
      <c r="R28" s="9" t="s">
        <v>47</v>
      </c>
      <c r="S28" s="9" t="s">
        <v>123</v>
      </c>
      <c r="T28" s="11"/>
      <c r="U28" s="9" t="s">
        <v>122</v>
      </c>
      <c r="V28" s="10">
        <v>-17.687343899999998</v>
      </c>
      <c r="W28" s="10">
        <v>-149.44516809999999</v>
      </c>
      <c r="X28" s="10">
        <v>1768</v>
      </c>
      <c r="Y28" s="9" t="s">
        <v>46</v>
      </c>
      <c r="Z28" s="10">
        <v>1919</v>
      </c>
      <c r="AA28" s="9" t="s">
        <v>46</v>
      </c>
      <c r="AB28" s="9" t="s">
        <v>124</v>
      </c>
      <c r="AC28" s="9" t="s">
        <v>127</v>
      </c>
      <c r="AD28" s="9" t="s">
        <v>126</v>
      </c>
      <c r="AE28" s="10">
        <v>20</v>
      </c>
      <c r="AF28" s="10">
        <v>11</v>
      </c>
      <c r="AG28" s="16">
        <v>182</v>
      </c>
      <c r="AH28" s="16">
        <v>31</v>
      </c>
      <c r="AI28" s="16">
        <v>11</v>
      </c>
      <c r="AJ28" s="16">
        <v>171</v>
      </c>
      <c r="AK28" s="16">
        <v>91</v>
      </c>
      <c r="AL28" s="16">
        <v>-160</v>
      </c>
      <c r="AM28" s="9" t="s">
        <v>57</v>
      </c>
    </row>
    <row r="29" spans="1:39" ht="20" customHeight="1" x14ac:dyDescent="0.15">
      <c r="A29" s="7">
        <v>93354380</v>
      </c>
      <c r="B29" s="8">
        <v>22692450</v>
      </c>
      <c r="C29" s="9" t="s">
        <v>119</v>
      </c>
      <c r="D29" s="9" t="s">
        <v>120</v>
      </c>
      <c r="E29" s="9" t="s">
        <v>121</v>
      </c>
      <c r="F29" s="9" t="s">
        <v>41</v>
      </c>
      <c r="G29" s="9" t="s">
        <v>42</v>
      </c>
      <c r="H29" s="9" t="s">
        <v>58</v>
      </c>
      <c r="I29" s="10">
        <v>1</v>
      </c>
      <c r="J29" s="9" t="s">
        <v>44</v>
      </c>
      <c r="K29" s="9" t="s">
        <v>130</v>
      </c>
      <c r="L29" s="10">
        <v>-17.875893999999999</v>
      </c>
      <c r="M29" s="10">
        <v>-148.06714500000001</v>
      </c>
      <c r="N29" s="10">
        <v>1930</v>
      </c>
      <c r="O29" s="9" t="s">
        <v>46</v>
      </c>
      <c r="P29" s="10">
        <v>1939</v>
      </c>
      <c r="Q29" s="9" t="s">
        <v>46</v>
      </c>
      <c r="R29" s="9" t="s">
        <v>47</v>
      </c>
      <c r="S29" s="9" t="s">
        <v>123</v>
      </c>
      <c r="T29" s="11"/>
      <c r="U29" s="9" t="s">
        <v>122</v>
      </c>
      <c r="V29" s="10">
        <v>-17.687343899999998</v>
      </c>
      <c r="W29" s="10">
        <v>-149.44516809999999</v>
      </c>
      <c r="X29" s="10">
        <v>1767</v>
      </c>
      <c r="Y29" s="9" t="s">
        <v>46</v>
      </c>
      <c r="Z29" s="10">
        <v>1923</v>
      </c>
      <c r="AA29" s="9" t="s">
        <v>46</v>
      </c>
      <c r="AB29" s="9" t="s">
        <v>124</v>
      </c>
      <c r="AC29" s="9" t="s">
        <v>129</v>
      </c>
      <c r="AD29" s="9" t="s">
        <v>126</v>
      </c>
      <c r="AE29" s="10">
        <v>20</v>
      </c>
      <c r="AF29" s="10">
        <v>11</v>
      </c>
      <c r="AG29" s="16">
        <v>183</v>
      </c>
      <c r="AH29" s="16">
        <v>27</v>
      </c>
      <c r="AI29" s="16">
        <v>7</v>
      </c>
      <c r="AJ29" s="16">
        <v>172</v>
      </c>
      <c r="AK29" s="16">
        <v>89.5</v>
      </c>
      <c r="AL29" s="16">
        <v>-165</v>
      </c>
      <c r="AM29" s="9" t="s">
        <v>57</v>
      </c>
    </row>
    <row r="30" spans="1:39" ht="20" customHeight="1" x14ac:dyDescent="0.15">
      <c r="A30" s="7">
        <v>93354540</v>
      </c>
      <c r="B30" s="8">
        <v>22692455</v>
      </c>
      <c r="C30" s="9" t="s">
        <v>131</v>
      </c>
      <c r="D30" s="13" t="s">
        <v>132</v>
      </c>
      <c r="E30" s="9" t="s">
        <v>133</v>
      </c>
      <c r="F30" s="9" t="s">
        <v>41</v>
      </c>
      <c r="G30" s="9" t="s">
        <v>42</v>
      </c>
      <c r="H30" s="9" t="s">
        <v>43</v>
      </c>
      <c r="I30" s="10">
        <v>1</v>
      </c>
      <c r="J30" s="9" t="s">
        <v>44</v>
      </c>
      <c r="K30" s="13" t="s">
        <v>528</v>
      </c>
      <c r="L30" s="10">
        <v>-44.024467100000003</v>
      </c>
      <c r="M30" s="10">
        <v>-176.5337332</v>
      </c>
      <c r="N30" s="10">
        <v>1840</v>
      </c>
      <c r="O30" s="9" t="s">
        <v>46</v>
      </c>
      <c r="P30" s="10">
        <v>1840</v>
      </c>
      <c r="Q30" s="9" t="s">
        <v>46</v>
      </c>
      <c r="R30" s="9" t="s">
        <v>47</v>
      </c>
      <c r="S30" s="9" t="s">
        <v>135</v>
      </c>
      <c r="T30" s="11"/>
      <c r="U30" s="13" t="s">
        <v>528</v>
      </c>
      <c r="V30" s="10">
        <v>-44.024467100000003</v>
      </c>
      <c r="W30" s="10">
        <v>-176.5337332</v>
      </c>
      <c r="X30" s="10">
        <v>650</v>
      </c>
      <c r="Y30" s="9" t="s">
        <v>72</v>
      </c>
      <c r="Z30" s="10">
        <v>650</v>
      </c>
      <c r="AA30" s="9" t="s">
        <v>72</v>
      </c>
      <c r="AB30" s="9" t="s">
        <v>136</v>
      </c>
      <c r="AC30" s="9" t="s">
        <v>137</v>
      </c>
      <c r="AD30" s="11"/>
      <c r="AE30" s="10">
        <v>110</v>
      </c>
      <c r="AF30" s="10">
        <v>110</v>
      </c>
      <c r="AG30" s="16">
        <v>650</v>
      </c>
      <c r="AH30" s="16">
        <v>650</v>
      </c>
      <c r="AI30" s="16">
        <v>540</v>
      </c>
      <c r="AJ30" s="16">
        <v>540</v>
      </c>
      <c r="AK30" s="16">
        <v>540</v>
      </c>
      <c r="AL30" s="16">
        <v>0</v>
      </c>
      <c r="AM30" s="9" t="s">
        <v>53</v>
      </c>
    </row>
    <row r="31" spans="1:39" ht="20" customHeight="1" x14ac:dyDescent="0.15">
      <c r="A31" s="7">
        <v>93354540</v>
      </c>
      <c r="B31" s="8">
        <v>22692455</v>
      </c>
      <c r="C31" s="9" t="s">
        <v>131</v>
      </c>
      <c r="D31" s="9" t="s">
        <v>132</v>
      </c>
      <c r="E31" s="9" t="s">
        <v>133</v>
      </c>
      <c r="F31" s="9" t="s">
        <v>41</v>
      </c>
      <c r="G31" s="9" t="s">
        <v>42</v>
      </c>
      <c r="H31" s="9" t="s">
        <v>54</v>
      </c>
      <c r="I31" s="10">
        <v>1</v>
      </c>
      <c r="J31" s="9" t="s">
        <v>44</v>
      </c>
      <c r="K31" s="13" t="s">
        <v>528</v>
      </c>
      <c r="L31" s="10">
        <v>-44.024467100000003</v>
      </c>
      <c r="M31" s="10">
        <v>-176.5337332</v>
      </c>
      <c r="N31" s="10">
        <v>1840</v>
      </c>
      <c r="O31" s="9" t="s">
        <v>46</v>
      </c>
      <c r="P31" s="10">
        <v>1840</v>
      </c>
      <c r="Q31" s="9" t="s">
        <v>46</v>
      </c>
      <c r="R31" s="9" t="s">
        <v>47</v>
      </c>
      <c r="S31" s="9" t="s">
        <v>135</v>
      </c>
      <c r="T31" s="11"/>
      <c r="U31" s="13" t="s">
        <v>528</v>
      </c>
      <c r="V31" s="10">
        <v>-44.288153999999999</v>
      </c>
      <c r="W31" s="10">
        <v>-176.22134299999999</v>
      </c>
      <c r="X31" s="10">
        <v>1845</v>
      </c>
      <c r="Y31" s="9" t="s">
        <v>46</v>
      </c>
      <c r="Z31" s="10">
        <v>1869</v>
      </c>
      <c r="AA31" s="9" t="s">
        <v>46</v>
      </c>
      <c r="AB31" s="13" t="s">
        <v>547</v>
      </c>
      <c r="AC31" s="9" t="s">
        <v>138</v>
      </c>
      <c r="AD31" s="11"/>
      <c r="AE31" s="10">
        <v>110</v>
      </c>
      <c r="AF31" s="10">
        <v>110</v>
      </c>
      <c r="AG31" s="16">
        <v>105</v>
      </c>
      <c r="AH31" s="16">
        <v>81</v>
      </c>
      <c r="AI31" s="16">
        <v>-29</v>
      </c>
      <c r="AJ31" s="16">
        <v>-5</v>
      </c>
      <c r="AK31" s="16">
        <v>-17</v>
      </c>
      <c r="AL31" s="16">
        <v>-24</v>
      </c>
      <c r="AM31" s="9" t="s">
        <v>86</v>
      </c>
    </row>
    <row r="32" spans="1:39" ht="20" customHeight="1" x14ac:dyDescent="0.15">
      <c r="A32" s="7">
        <v>93354540</v>
      </c>
      <c r="B32" s="8">
        <v>22692455</v>
      </c>
      <c r="C32" s="13" t="s">
        <v>131</v>
      </c>
      <c r="D32" s="9" t="s">
        <v>132</v>
      </c>
      <c r="E32" s="9" t="s">
        <v>133</v>
      </c>
      <c r="F32" s="9" t="s">
        <v>41</v>
      </c>
      <c r="G32" s="9" t="s">
        <v>42</v>
      </c>
      <c r="H32" s="9" t="s">
        <v>58</v>
      </c>
      <c r="I32" s="10">
        <v>1</v>
      </c>
      <c r="J32" s="9" t="s">
        <v>44</v>
      </c>
      <c r="K32" s="13" t="s">
        <v>528</v>
      </c>
      <c r="L32" s="10">
        <v>-44.024467100000003</v>
      </c>
      <c r="M32" s="10">
        <v>-176.5337332</v>
      </c>
      <c r="N32" s="10">
        <v>1840</v>
      </c>
      <c r="O32" s="9" t="s">
        <v>46</v>
      </c>
      <c r="P32" s="10">
        <v>1840</v>
      </c>
      <c r="Q32" s="9" t="s">
        <v>46</v>
      </c>
      <c r="R32" s="9" t="s">
        <v>47</v>
      </c>
      <c r="S32" s="9" t="s">
        <v>135</v>
      </c>
      <c r="T32" s="11"/>
      <c r="U32" s="13" t="s">
        <v>528</v>
      </c>
      <c r="V32" s="10">
        <v>-44.288153999999999</v>
      </c>
      <c r="W32" s="10">
        <v>-176.22134299999999</v>
      </c>
      <c r="X32" s="10">
        <v>1952</v>
      </c>
      <c r="Y32" s="9" t="s">
        <v>46</v>
      </c>
      <c r="Z32" s="10">
        <v>1977</v>
      </c>
      <c r="AA32" s="9" t="s">
        <v>46</v>
      </c>
      <c r="AB32" s="13" t="s">
        <v>547</v>
      </c>
      <c r="AC32" s="9" t="s">
        <v>139</v>
      </c>
      <c r="AD32" s="11"/>
      <c r="AE32" s="10">
        <v>110</v>
      </c>
      <c r="AF32" s="10">
        <v>110</v>
      </c>
      <c r="AG32" s="16">
        <v>-2</v>
      </c>
      <c r="AH32" s="16">
        <v>-27</v>
      </c>
      <c r="AI32" s="16">
        <v>-137</v>
      </c>
      <c r="AJ32" s="16">
        <v>-112</v>
      </c>
      <c r="AK32" s="16">
        <v>-124.5</v>
      </c>
      <c r="AL32" s="16">
        <v>-25</v>
      </c>
      <c r="AM32" s="9" t="s">
        <v>86</v>
      </c>
    </row>
    <row r="33" spans="1:39" ht="20" customHeight="1" x14ac:dyDescent="0.15">
      <c r="A33" s="7">
        <v>93363618</v>
      </c>
      <c r="B33" s="8">
        <v>22692672</v>
      </c>
      <c r="C33" s="9" t="s">
        <v>140</v>
      </c>
      <c r="D33" s="9" t="s">
        <v>141</v>
      </c>
      <c r="E33" s="9" t="s">
        <v>142</v>
      </c>
      <c r="F33" s="9" t="s">
        <v>41</v>
      </c>
      <c r="G33" s="9" t="s">
        <v>42</v>
      </c>
      <c r="H33" s="9" t="s">
        <v>54</v>
      </c>
      <c r="I33" s="10">
        <v>1</v>
      </c>
      <c r="J33" s="9" t="s">
        <v>44</v>
      </c>
      <c r="K33" s="9" t="s">
        <v>143</v>
      </c>
      <c r="L33" s="10">
        <v>25.77083</v>
      </c>
      <c r="M33" s="10">
        <v>-171.73750000000001</v>
      </c>
      <c r="N33" s="10">
        <v>1923</v>
      </c>
      <c r="O33" s="9" t="s">
        <v>46</v>
      </c>
      <c r="P33" s="10">
        <v>1936</v>
      </c>
      <c r="Q33" s="9" t="s">
        <v>46</v>
      </c>
      <c r="R33" s="9" t="s">
        <v>47</v>
      </c>
      <c r="S33" s="9" t="s">
        <v>144</v>
      </c>
      <c r="T33" s="11"/>
      <c r="U33" s="9" t="s">
        <v>143</v>
      </c>
      <c r="V33" s="10">
        <v>25.77083</v>
      </c>
      <c r="W33" s="10">
        <v>-171.73750000000001</v>
      </c>
      <c r="X33" s="10">
        <v>0</v>
      </c>
      <c r="Y33" s="9" t="s">
        <v>72</v>
      </c>
      <c r="Z33" s="10">
        <v>0</v>
      </c>
      <c r="AA33" s="9" t="s">
        <v>72</v>
      </c>
      <c r="AB33" s="13" t="s">
        <v>547</v>
      </c>
      <c r="AC33" s="9" t="s">
        <v>145</v>
      </c>
      <c r="AD33" s="9" t="s">
        <v>146</v>
      </c>
      <c r="AE33" s="10">
        <v>27</v>
      </c>
      <c r="AF33" s="10">
        <v>14</v>
      </c>
      <c r="AG33" s="16">
        <v>0</v>
      </c>
      <c r="AH33" s="16">
        <v>0</v>
      </c>
      <c r="AI33" s="16">
        <v>-27</v>
      </c>
      <c r="AJ33" s="16">
        <v>-14</v>
      </c>
      <c r="AK33" s="16">
        <v>-20.5</v>
      </c>
      <c r="AL33" s="16">
        <v>-13</v>
      </c>
      <c r="AM33" s="9" t="s">
        <v>86</v>
      </c>
    </row>
    <row r="34" spans="1:39" ht="20" customHeight="1" x14ac:dyDescent="0.15">
      <c r="A34" s="7">
        <v>93363618</v>
      </c>
      <c r="B34" s="8">
        <v>22692672</v>
      </c>
      <c r="C34" s="9" t="s">
        <v>140</v>
      </c>
      <c r="D34" s="9" t="s">
        <v>141</v>
      </c>
      <c r="E34" s="9" t="s">
        <v>142</v>
      </c>
      <c r="F34" s="9" t="s">
        <v>41</v>
      </c>
      <c r="G34" s="9" t="s">
        <v>42</v>
      </c>
      <c r="H34" s="9" t="s">
        <v>54</v>
      </c>
      <c r="I34" s="10">
        <v>1</v>
      </c>
      <c r="J34" s="9" t="s">
        <v>44</v>
      </c>
      <c r="K34" s="9" t="s">
        <v>147</v>
      </c>
      <c r="L34" s="10">
        <v>28.209902</v>
      </c>
      <c r="M34" s="10">
        <v>-177.33072000000001</v>
      </c>
      <c r="N34" s="10">
        <v>1944</v>
      </c>
      <c r="O34" s="9" t="s">
        <v>46</v>
      </c>
      <c r="P34" s="10">
        <v>1944</v>
      </c>
      <c r="Q34" s="9" t="s">
        <v>46</v>
      </c>
      <c r="R34" s="9" t="s">
        <v>47</v>
      </c>
      <c r="S34" s="9" t="s">
        <v>148</v>
      </c>
      <c r="T34" s="11"/>
      <c r="U34" s="9" t="s">
        <v>149</v>
      </c>
      <c r="V34" s="10">
        <v>28.241753599999999</v>
      </c>
      <c r="W34" s="10">
        <v>-177.37542999999999</v>
      </c>
      <c r="X34" s="10">
        <v>1943</v>
      </c>
      <c r="Y34" s="9" t="s">
        <v>46</v>
      </c>
      <c r="Z34" s="10">
        <v>1943</v>
      </c>
      <c r="AA34" s="9" t="s">
        <v>46</v>
      </c>
      <c r="AB34" s="13" t="s">
        <v>547</v>
      </c>
      <c r="AC34" s="9" t="s">
        <v>150</v>
      </c>
      <c r="AD34" s="11"/>
      <c r="AE34" s="10">
        <v>6</v>
      </c>
      <c r="AF34" s="10">
        <v>6</v>
      </c>
      <c r="AG34" s="16">
        <v>7</v>
      </c>
      <c r="AH34" s="16">
        <v>7</v>
      </c>
      <c r="AI34" s="16">
        <v>1</v>
      </c>
      <c r="AJ34" s="16">
        <v>1</v>
      </c>
      <c r="AK34" s="16">
        <v>1</v>
      </c>
      <c r="AL34" s="16">
        <v>0</v>
      </c>
      <c r="AM34" s="9" t="s">
        <v>57</v>
      </c>
    </row>
    <row r="35" spans="1:39" ht="20" customHeight="1" x14ac:dyDescent="0.15">
      <c r="A35" s="7">
        <v>93363618</v>
      </c>
      <c r="B35" s="8">
        <v>22692672</v>
      </c>
      <c r="C35" s="9" t="s">
        <v>140</v>
      </c>
      <c r="D35" s="9" t="s">
        <v>141</v>
      </c>
      <c r="E35" s="9" t="s">
        <v>142</v>
      </c>
      <c r="F35" s="9" t="s">
        <v>41</v>
      </c>
      <c r="G35" s="9" t="s">
        <v>42</v>
      </c>
      <c r="H35" s="9" t="s">
        <v>54</v>
      </c>
      <c r="I35" s="10">
        <v>1</v>
      </c>
      <c r="J35" s="9" t="s">
        <v>44</v>
      </c>
      <c r="K35" s="9" t="s">
        <v>151</v>
      </c>
      <c r="L35" s="10">
        <v>28.209007</v>
      </c>
      <c r="M35" s="10">
        <v>-177.376126</v>
      </c>
      <c r="N35" s="10">
        <v>1943</v>
      </c>
      <c r="O35" s="9" t="s">
        <v>46</v>
      </c>
      <c r="P35" s="10">
        <v>1943</v>
      </c>
      <c r="Q35" s="9" t="s">
        <v>46</v>
      </c>
      <c r="R35" s="9" t="s">
        <v>47</v>
      </c>
      <c r="S35" s="9" t="s">
        <v>148</v>
      </c>
      <c r="T35" s="11"/>
      <c r="U35" s="9" t="s">
        <v>149</v>
      </c>
      <c r="V35" s="10">
        <v>28.241753599999999</v>
      </c>
      <c r="W35" s="10">
        <v>-177.37542999999999</v>
      </c>
      <c r="X35" s="10">
        <v>1943</v>
      </c>
      <c r="Y35" s="9" t="s">
        <v>46</v>
      </c>
      <c r="Z35" s="10">
        <v>1943</v>
      </c>
      <c r="AA35" s="9" t="s">
        <v>46</v>
      </c>
      <c r="AB35" s="13" t="s">
        <v>547</v>
      </c>
      <c r="AC35" s="9" t="s">
        <v>150</v>
      </c>
      <c r="AD35" s="11"/>
      <c r="AE35" s="10">
        <v>7</v>
      </c>
      <c r="AF35" s="10">
        <v>7</v>
      </c>
      <c r="AG35" s="16">
        <v>7</v>
      </c>
      <c r="AH35" s="16">
        <v>7</v>
      </c>
      <c r="AI35" s="16">
        <v>0</v>
      </c>
      <c r="AJ35" s="16">
        <v>0</v>
      </c>
      <c r="AK35" s="16">
        <v>0</v>
      </c>
      <c r="AL35" s="16">
        <v>0</v>
      </c>
      <c r="AM35" s="9" t="s">
        <v>57</v>
      </c>
    </row>
    <row r="36" spans="1:39" ht="20" customHeight="1" x14ac:dyDescent="0.15">
      <c r="A36" s="7">
        <v>93364994</v>
      </c>
      <c r="B36" s="8">
        <v>22692693</v>
      </c>
      <c r="C36" s="9" t="s">
        <v>152</v>
      </c>
      <c r="D36" s="9" t="s">
        <v>153</v>
      </c>
      <c r="E36" s="9" t="s">
        <v>154</v>
      </c>
      <c r="F36" s="9" t="s">
        <v>41</v>
      </c>
      <c r="G36" s="9" t="s">
        <v>42</v>
      </c>
      <c r="H36" s="9" t="s">
        <v>43</v>
      </c>
      <c r="I36" s="10">
        <v>1</v>
      </c>
      <c r="J36" s="9" t="s">
        <v>44</v>
      </c>
      <c r="K36" s="9" t="s">
        <v>155</v>
      </c>
      <c r="L36" s="10">
        <v>19.593801500000001</v>
      </c>
      <c r="M36" s="10">
        <v>-155.4283701</v>
      </c>
      <c r="N36" s="10">
        <v>1864</v>
      </c>
      <c r="O36" s="9" t="s">
        <v>46</v>
      </c>
      <c r="P36" s="10">
        <v>1869</v>
      </c>
      <c r="Q36" s="9" t="s">
        <v>46</v>
      </c>
      <c r="R36" s="9" t="s">
        <v>47</v>
      </c>
      <c r="S36" s="9" t="s">
        <v>156</v>
      </c>
      <c r="T36" s="11"/>
      <c r="U36" s="9" t="s">
        <v>155</v>
      </c>
      <c r="V36" s="10">
        <v>19.593801500000001</v>
      </c>
      <c r="W36" s="10">
        <v>-155.4283701</v>
      </c>
      <c r="X36" s="10">
        <v>800</v>
      </c>
      <c r="Y36" s="9" t="s">
        <v>72</v>
      </c>
      <c r="Z36" s="10">
        <v>800</v>
      </c>
      <c r="AA36" s="9" t="s">
        <v>72</v>
      </c>
      <c r="AB36" s="9" t="s">
        <v>157</v>
      </c>
      <c r="AC36" s="9" t="s">
        <v>158</v>
      </c>
      <c r="AD36" s="11"/>
      <c r="AE36" s="10">
        <v>86</v>
      </c>
      <c r="AF36" s="10">
        <v>81</v>
      </c>
      <c r="AG36" s="16">
        <v>800</v>
      </c>
      <c r="AH36" s="16">
        <v>800</v>
      </c>
      <c r="AI36" s="16">
        <v>714</v>
      </c>
      <c r="AJ36" s="16">
        <v>719</v>
      </c>
      <c r="AK36" s="16">
        <v>716.5</v>
      </c>
      <c r="AL36" s="16">
        <v>-5</v>
      </c>
      <c r="AM36" s="9" t="s">
        <v>53</v>
      </c>
    </row>
    <row r="37" spans="1:39" ht="20" customHeight="1" x14ac:dyDescent="0.15">
      <c r="A37" s="7">
        <v>93364994</v>
      </c>
      <c r="B37" s="8">
        <v>22692693</v>
      </c>
      <c r="C37" s="9" t="s">
        <v>152</v>
      </c>
      <c r="D37" s="9" t="s">
        <v>153</v>
      </c>
      <c r="E37" s="9" t="s">
        <v>154</v>
      </c>
      <c r="F37" s="9" t="s">
        <v>41</v>
      </c>
      <c r="G37" s="9" t="s">
        <v>42</v>
      </c>
      <c r="H37" s="9" t="s">
        <v>54</v>
      </c>
      <c r="I37" s="10">
        <v>1</v>
      </c>
      <c r="J37" s="9" t="s">
        <v>44</v>
      </c>
      <c r="K37" s="9" t="s">
        <v>155</v>
      </c>
      <c r="L37" s="10">
        <v>19.593801500000001</v>
      </c>
      <c r="M37" s="10">
        <v>-155.4283701</v>
      </c>
      <c r="N37" s="10">
        <v>1864</v>
      </c>
      <c r="O37" s="9" t="s">
        <v>46</v>
      </c>
      <c r="P37" s="10">
        <v>1869</v>
      </c>
      <c r="Q37" s="9" t="s">
        <v>46</v>
      </c>
      <c r="R37" s="9" t="s">
        <v>47</v>
      </c>
      <c r="S37" s="9" t="s">
        <v>156</v>
      </c>
      <c r="T37" s="11"/>
      <c r="U37" s="9" t="s">
        <v>155</v>
      </c>
      <c r="V37" s="10">
        <v>19.593801500000001</v>
      </c>
      <c r="W37" s="10">
        <v>-155.4283701</v>
      </c>
      <c r="X37" s="10">
        <v>1870</v>
      </c>
      <c r="Y37" s="9" t="s">
        <v>46</v>
      </c>
      <c r="Z37" s="10">
        <v>1879</v>
      </c>
      <c r="AA37" s="9" t="s">
        <v>46</v>
      </c>
      <c r="AB37" s="9" t="s">
        <v>157</v>
      </c>
      <c r="AC37" s="9" t="s">
        <v>159</v>
      </c>
      <c r="AD37" s="9" t="s">
        <v>160</v>
      </c>
      <c r="AE37" s="10">
        <v>86</v>
      </c>
      <c r="AF37" s="10">
        <v>81</v>
      </c>
      <c r="AG37" s="16">
        <v>80</v>
      </c>
      <c r="AH37" s="16">
        <v>71</v>
      </c>
      <c r="AI37" s="16">
        <v>-15</v>
      </c>
      <c r="AJ37" s="16">
        <v>-1</v>
      </c>
      <c r="AK37" s="16">
        <v>-8</v>
      </c>
      <c r="AL37" s="16">
        <v>-14</v>
      </c>
      <c r="AM37" s="9" t="s">
        <v>86</v>
      </c>
    </row>
    <row r="38" spans="1:39" ht="20" customHeight="1" x14ac:dyDescent="0.15">
      <c r="A38" s="7">
        <v>93364994</v>
      </c>
      <c r="B38" s="8">
        <v>22692693</v>
      </c>
      <c r="C38" s="9" t="s">
        <v>152</v>
      </c>
      <c r="D38" s="9" t="s">
        <v>153</v>
      </c>
      <c r="E38" s="9" t="s">
        <v>154</v>
      </c>
      <c r="F38" s="9" t="s">
        <v>41</v>
      </c>
      <c r="G38" s="9" t="s">
        <v>42</v>
      </c>
      <c r="H38" s="9" t="s">
        <v>58</v>
      </c>
      <c r="I38" s="10">
        <v>1</v>
      </c>
      <c r="J38" s="9" t="s">
        <v>44</v>
      </c>
      <c r="K38" s="9" t="s">
        <v>155</v>
      </c>
      <c r="L38" s="10">
        <v>19.593801500000001</v>
      </c>
      <c r="M38" s="10">
        <v>-155.4283701</v>
      </c>
      <c r="N38" s="10">
        <v>1864</v>
      </c>
      <c r="O38" s="9" t="s">
        <v>46</v>
      </c>
      <c r="P38" s="10">
        <v>1869</v>
      </c>
      <c r="Q38" s="9" t="s">
        <v>46</v>
      </c>
      <c r="R38" s="9" t="s">
        <v>47</v>
      </c>
      <c r="S38" s="9" t="s">
        <v>156</v>
      </c>
      <c r="T38" s="11"/>
      <c r="U38" s="9" t="s">
        <v>155</v>
      </c>
      <c r="V38" s="10">
        <v>19.593801500000001</v>
      </c>
      <c r="W38" s="10">
        <v>-155.4283701</v>
      </c>
      <c r="X38" s="10">
        <v>1778</v>
      </c>
      <c r="Y38" s="9" t="s">
        <v>46</v>
      </c>
      <c r="Z38" s="10">
        <v>1778</v>
      </c>
      <c r="AA38" s="9" t="s">
        <v>46</v>
      </c>
      <c r="AB38" s="9" t="s">
        <v>157</v>
      </c>
      <c r="AC38" s="9" t="s">
        <v>161</v>
      </c>
      <c r="AD38" s="11"/>
      <c r="AE38" s="10">
        <v>86</v>
      </c>
      <c r="AF38" s="10">
        <v>81</v>
      </c>
      <c r="AG38" s="16">
        <v>172</v>
      </c>
      <c r="AH38" s="16">
        <v>172</v>
      </c>
      <c r="AI38" s="16">
        <v>86</v>
      </c>
      <c r="AJ38" s="16">
        <v>91</v>
      </c>
      <c r="AK38" s="16">
        <v>88.5</v>
      </c>
      <c r="AL38" s="16">
        <v>-5</v>
      </c>
      <c r="AM38" s="9" t="s">
        <v>57</v>
      </c>
    </row>
    <row r="39" spans="1:39" ht="20" customHeight="1" x14ac:dyDescent="0.15">
      <c r="A39" s="7">
        <v>93364994</v>
      </c>
      <c r="B39" s="8">
        <v>22692693</v>
      </c>
      <c r="C39" s="9" t="s">
        <v>152</v>
      </c>
      <c r="D39" s="9" t="s">
        <v>153</v>
      </c>
      <c r="E39" s="9" t="s">
        <v>154</v>
      </c>
      <c r="F39" s="9" t="s">
        <v>41</v>
      </c>
      <c r="G39" s="9" t="s">
        <v>42</v>
      </c>
      <c r="H39" s="9" t="s">
        <v>59</v>
      </c>
      <c r="I39" s="10">
        <v>0</v>
      </c>
      <c r="J39" s="9" t="s">
        <v>44</v>
      </c>
      <c r="K39" s="9" t="s">
        <v>155</v>
      </c>
      <c r="L39" s="10">
        <v>19.593801500000001</v>
      </c>
      <c r="M39" s="10">
        <v>-155.4283701</v>
      </c>
      <c r="N39" s="10">
        <v>1864</v>
      </c>
      <c r="O39" s="9" t="s">
        <v>46</v>
      </c>
      <c r="P39" s="10">
        <v>1869</v>
      </c>
      <c r="Q39" s="9" t="s">
        <v>46</v>
      </c>
      <c r="R39" s="9" t="s">
        <v>47</v>
      </c>
      <c r="S39" s="9" t="s">
        <v>156</v>
      </c>
      <c r="T39" s="11"/>
      <c r="U39" s="9" t="s">
        <v>155</v>
      </c>
      <c r="V39" s="10">
        <v>19.593801500000001</v>
      </c>
      <c r="W39" s="10">
        <v>-155.4283701</v>
      </c>
      <c r="X39" s="10">
        <v>1778</v>
      </c>
      <c r="Y39" s="9" t="s">
        <v>46</v>
      </c>
      <c r="Z39" s="10">
        <v>1778</v>
      </c>
      <c r="AA39" s="9" t="s">
        <v>46</v>
      </c>
      <c r="AB39" s="9" t="s">
        <v>157</v>
      </c>
      <c r="AC39" s="9" t="s">
        <v>161</v>
      </c>
      <c r="AD39" s="11"/>
      <c r="AE39" s="10">
        <v>86</v>
      </c>
      <c r="AF39" s="10">
        <v>81</v>
      </c>
      <c r="AG39" s="16">
        <v>172</v>
      </c>
      <c r="AH39" s="16">
        <v>172</v>
      </c>
      <c r="AI39" s="16">
        <v>86</v>
      </c>
      <c r="AJ39" s="16">
        <v>91</v>
      </c>
      <c r="AK39" s="16">
        <v>88.5</v>
      </c>
      <c r="AL39" s="16">
        <v>-5</v>
      </c>
      <c r="AM39" s="9" t="s">
        <v>57</v>
      </c>
    </row>
    <row r="40" spans="1:39" ht="20" customHeight="1" x14ac:dyDescent="0.15">
      <c r="A40" s="7">
        <v>93366211</v>
      </c>
      <c r="B40" s="8">
        <v>22692708</v>
      </c>
      <c r="C40" s="9" t="s">
        <v>162</v>
      </c>
      <c r="D40" s="9" t="s">
        <v>163</v>
      </c>
      <c r="E40" s="9" t="s">
        <v>164</v>
      </c>
      <c r="F40" s="9" t="s">
        <v>41</v>
      </c>
      <c r="G40" s="9" t="s">
        <v>42</v>
      </c>
      <c r="H40" s="9" t="s">
        <v>43</v>
      </c>
      <c r="I40" s="10">
        <v>1</v>
      </c>
      <c r="J40" s="9" t="s">
        <v>44</v>
      </c>
      <c r="K40" s="9" t="s">
        <v>165</v>
      </c>
      <c r="L40" s="10">
        <v>5.3142620999999997</v>
      </c>
      <c r="M40" s="10">
        <v>162.98111539999999</v>
      </c>
      <c r="N40" s="10">
        <v>1828</v>
      </c>
      <c r="O40" s="9" t="s">
        <v>46</v>
      </c>
      <c r="P40" s="10">
        <v>1878</v>
      </c>
      <c r="Q40" s="9" t="s">
        <v>46</v>
      </c>
      <c r="R40" s="9" t="s">
        <v>47</v>
      </c>
      <c r="S40" s="9" t="s">
        <v>166</v>
      </c>
      <c r="T40" s="11"/>
      <c r="U40" s="9" t="s">
        <v>167</v>
      </c>
      <c r="V40" s="10">
        <v>6.8444960000000004</v>
      </c>
      <c r="W40" s="10">
        <v>158.33561900000001</v>
      </c>
      <c r="X40" s="10">
        <v>1400</v>
      </c>
      <c r="Y40" s="9" t="s">
        <v>46</v>
      </c>
      <c r="Z40" s="10">
        <v>1400</v>
      </c>
      <c r="AA40" s="9" t="s">
        <v>46</v>
      </c>
      <c r="AB40" s="9" t="s">
        <v>168</v>
      </c>
      <c r="AC40" s="9" t="s">
        <v>169</v>
      </c>
      <c r="AD40" s="9" t="s">
        <v>170</v>
      </c>
      <c r="AE40" s="10">
        <v>122</v>
      </c>
      <c r="AF40" s="10">
        <v>72</v>
      </c>
      <c r="AG40" s="16">
        <v>550</v>
      </c>
      <c r="AH40" s="16">
        <v>550</v>
      </c>
      <c r="AI40" s="16">
        <v>428</v>
      </c>
      <c r="AJ40" s="16">
        <v>478</v>
      </c>
      <c r="AK40" s="16">
        <v>453</v>
      </c>
      <c r="AL40" s="16">
        <v>-50</v>
      </c>
      <c r="AM40" s="9" t="s">
        <v>103</v>
      </c>
    </row>
    <row r="41" spans="1:39" ht="20" customHeight="1" x14ac:dyDescent="0.15">
      <c r="A41" s="7">
        <v>93396439</v>
      </c>
      <c r="B41" s="8">
        <v>22693330</v>
      </c>
      <c r="C41" s="9" t="s">
        <v>171</v>
      </c>
      <c r="D41" s="9" t="s">
        <v>172</v>
      </c>
      <c r="E41" s="9" t="s">
        <v>40</v>
      </c>
      <c r="F41" s="9" t="s">
        <v>41</v>
      </c>
      <c r="G41" s="9" t="s">
        <v>42</v>
      </c>
      <c r="H41" s="9" t="s">
        <v>43</v>
      </c>
      <c r="I41" s="10">
        <v>1</v>
      </c>
      <c r="J41" s="9" t="s">
        <v>44</v>
      </c>
      <c r="K41" s="9" t="s">
        <v>122</v>
      </c>
      <c r="L41" s="10">
        <v>-17.687343899999998</v>
      </c>
      <c r="M41" s="10">
        <v>-149.44516809999999</v>
      </c>
      <c r="N41" s="10">
        <v>1777</v>
      </c>
      <c r="O41" s="9" t="s">
        <v>46</v>
      </c>
      <c r="P41" s="10">
        <v>1777</v>
      </c>
      <c r="Q41" s="9" t="s">
        <v>46</v>
      </c>
      <c r="R41" s="9" t="s">
        <v>47</v>
      </c>
      <c r="S41" s="9" t="s">
        <v>173</v>
      </c>
      <c r="T41" s="11"/>
      <c r="U41" s="9" t="s">
        <v>122</v>
      </c>
      <c r="V41" s="10">
        <v>-17.687343899999998</v>
      </c>
      <c r="W41" s="10">
        <v>-149.44516809999999</v>
      </c>
      <c r="X41" s="10">
        <v>520</v>
      </c>
      <c r="Y41" s="9" t="s">
        <v>72</v>
      </c>
      <c r="Z41" s="10">
        <v>640</v>
      </c>
      <c r="AA41" s="9" t="s">
        <v>72</v>
      </c>
      <c r="AB41" s="9" t="s">
        <v>124</v>
      </c>
      <c r="AC41" s="9" t="s">
        <v>125</v>
      </c>
      <c r="AD41" s="9" t="s">
        <v>126</v>
      </c>
      <c r="AE41" s="10">
        <v>173</v>
      </c>
      <c r="AF41" s="10">
        <v>173</v>
      </c>
      <c r="AG41" s="16">
        <v>520</v>
      </c>
      <c r="AH41" s="16">
        <v>640</v>
      </c>
      <c r="AI41" s="16">
        <v>467</v>
      </c>
      <c r="AJ41" s="16">
        <v>347</v>
      </c>
      <c r="AK41" s="16">
        <v>407</v>
      </c>
      <c r="AL41" s="16">
        <v>120</v>
      </c>
      <c r="AM41" s="9" t="s">
        <v>103</v>
      </c>
    </row>
    <row r="42" spans="1:39" ht="20" customHeight="1" x14ac:dyDescent="0.15">
      <c r="A42" s="7">
        <v>93396439</v>
      </c>
      <c r="B42" s="8">
        <v>22693330</v>
      </c>
      <c r="C42" s="9" t="s">
        <v>171</v>
      </c>
      <c r="D42" s="9" t="s">
        <v>172</v>
      </c>
      <c r="E42" s="9" t="s">
        <v>40</v>
      </c>
      <c r="F42" s="9" t="s">
        <v>41</v>
      </c>
      <c r="G42" s="9" t="s">
        <v>42</v>
      </c>
      <c r="H42" s="9" t="s">
        <v>54</v>
      </c>
      <c r="I42" s="10">
        <v>1</v>
      </c>
      <c r="J42" s="9" t="s">
        <v>44</v>
      </c>
      <c r="K42" s="9" t="s">
        <v>122</v>
      </c>
      <c r="L42" s="10">
        <v>-17.687343899999998</v>
      </c>
      <c r="M42" s="10">
        <v>-149.44516809999999</v>
      </c>
      <c r="N42" s="10">
        <v>1777</v>
      </c>
      <c r="O42" s="9" t="s">
        <v>46</v>
      </c>
      <c r="P42" s="10">
        <v>1777</v>
      </c>
      <c r="Q42" s="9" t="s">
        <v>46</v>
      </c>
      <c r="R42" s="9" t="s">
        <v>47</v>
      </c>
      <c r="S42" s="9" t="s">
        <v>173</v>
      </c>
      <c r="T42" s="11"/>
      <c r="U42" s="9" t="s">
        <v>122</v>
      </c>
      <c r="V42" s="10">
        <v>-17.687343899999998</v>
      </c>
      <c r="W42" s="10">
        <v>-149.44516809999999</v>
      </c>
      <c r="X42" s="10">
        <v>1768</v>
      </c>
      <c r="Y42" s="9" t="s">
        <v>46</v>
      </c>
      <c r="Z42" s="10">
        <v>1919</v>
      </c>
      <c r="AA42" s="9" t="s">
        <v>46</v>
      </c>
      <c r="AB42" s="9" t="s">
        <v>124</v>
      </c>
      <c r="AC42" s="9" t="s">
        <v>127</v>
      </c>
      <c r="AD42" s="9" t="s">
        <v>126</v>
      </c>
      <c r="AE42" s="10">
        <v>173</v>
      </c>
      <c r="AF42" s="10">
        <v>173</v>
      </c>
      <c r="AG42" s="16">
        <v>182</v>
      </c>
      <c r="AH42" s="16">
        <v>31</v>
      </c>
      <c r="AI42" s="16">
        <v>-142</v>
      </c>
      <c r="AJ42" s="16">
        <v>9</v>
      </c>
      <c r="AK42" s="16">
        <v>-66.5</v>
      </c>
      <c r="AL42" s="16">
        <v>-151</v>
      </c>
      <c r="AM42" s="9" t="s">
        <v>128</v>
      </c>
    </row>
    <row r="43" spans="1:39" ht="20" customHeight="1" x14ac:dyDescent="0.15">
      <c r="A43" s="7">
        <v>93396439</v>
      </c>
      <c r="B43" s="8">
        <v>22693330</v>
      </c>
      <c r="C43" s="9" t="s">
        <v>171</v>
      </c>
      <c r="D43" s="9" t="s">
        <v>172</v>
      </c>
      <c r="E43" s="9" t="s">
        <v>40</v>
      </c>
      <c r="F43" s="9" t="s">
        <v>41</v>
      </c>
      <c r="G43" s="9" t="s">
        <v>42</v>
      </c>
      <c r="H43" s="9" t="s">
        <v>58</v>
      </c>
      <c r="I43" s="10">
        <v>1</v>
      </c>
      <c r="J43" s="9" t="s">
        <v>44</v>
      </c>
      <c r="K43" s="9" t="s">
        <v>122</v>
      </c>
      <c r="L43" s="10">
        <v>-17.687343899999998</v>
      </c>
      <c r="M43" s="10">
        <v>-149.44516809999999</v>
      </c>
      <c r="N43" s="10">
        <v>1777</v>
      </c>
      <c r="O43" s="9" t="s">
        <v>46</v>
      </c>
      <c r="P43" s="10">
        <v>1777</v>
      </c>
      <c r="Q43" s="9" t="s">
        <v>46</v>
      </c>
      <c r="R43" s="9" t="s">
        <v>47</v>
      </c>
      <c r="S43" s="9" t="s">
        <v>173</v>
      </c>
      <c r="T43" s="11"/>
      <c r="U43" s="9" t="s">
        <v>122</v>
      </c>
      <c r="V43" s="10">
        <v>-17.687343899999998</v>
      </c>
      <c r="W43" s="10">
        <v>-149.44516809999999</v>
      </c>
      <c r="X43" s="10">
        <v>1767</v>
      </c>
      <c r="Y43" s="9" t="s">
        <v>46</v>
      </c>
      <c r="Z43" s="10">
        <v>1923</v>
      </c>
      <c r="AA43" s="9" t="s">
        <v>46</v>
      </c>
      <c r="AB43" s="9" t="s">
        <v>124</v>
      </c>
      <c r="AC43" s="9" t="s">
        <v>129</v>
      </c>
      <c r="AD43" s="9" t="s">
        <v>126</v>
      </c>
      <c r="AE43" s="10">
        <v>173</v>
      </c>
      <c r="AF43" s="10">
        <v>173</v>
      </c>
      <c r="AG43" s="16">
        <v>183</v>
      </c>
      <c r="AH43" s="16">
        <v>27</v>
      </c>
      <c r="AI43" s="16">
        <v>-146</v>
      </c>
      <c r="AJ43" s="16">
        <v>10</v>
      </c>
      <c r="AK43" s="16">
        <v>-68</v>
      </c>
      <c r="AL43" s="16">
        <v>-156</v>
      </c>
      <c r="AM43" s="9" t="s">
        <v>128</v>
      </c>
    </row>
    <row r="44" spans="1:39" ht="20" customHeight="1" x14ac:dyDescent="0.15">
      <c r="A44" s="7">
        <v>93963628</v>
      </c>
      <c r="B44" s="8">
        <v>22704323</v>
      </c>
      <c r="C44" s="9" t="s">
        <v>174</v>
      </c>
      <c r="D44" s="9" t="s">
        <v>175</v>
      </c>
      <c r="E44" s="9" t="s">
        <v>40</v>
      </c>
      <c r="F44" s="9" t="s">
        <v>41</v>
      </c>
      <c r="G44" s="9" t="s">
        <v>54</v>
      </c>
      <c r="H44" s="9" t="s">
        <v>43</v>
      </c>
      <c r="I44" s="10">
        <v>0</v>
      </c>
      <c r="J44" s="9" t="s">
        <v>44</v>
      </c>
      <c r="K44" s="9" t="s">
        <v>176</v>
      </c>
      <c r="L44" s="10">
        <v>21.886382900000001</v>
      </c>
      <c r="M44" s="10">
        <v>-159.49278559999999</v>
      </c>
      <c r="N44" s="10">
        <v>1985</v>
      </c>
      <c r="O44" s="9" t="s">
        <v>46</v>
      </c>
      <c r="P44" s="10">
        <v>1987</v>
      </c>
      <c r="Q44" s="9" t="s">
        <v>46</v>
      </c>
      <c r="R44" s="9" t="s">
        <v>47</v>
      </c>
      <c r="S44" s="9" t="s">
        <v>177</v>
      </c>
      <c r="T44" s="11"/>
      <c r="U44" s="9" t="s">
        <v>176</v>
      </c>
      <c r="V44" s="10">
        <v>21.886382900000001</v>
      </c>
      <c r="W44" s="10">
        <v>-159.49278559999999</v>
      </c>
      <c r="X44" s="10">
        <v>1039</v>
      </c>
      <c r="Y44" s="9" t="s">
        <v>72</v>
      </c>
      <c r="Z44" s="10">
        <v>1241</v>
      </c>
      <c r="AA44" s="9" t="s">
        <v>72</v>
      </c>
      <c r="AB44" s="9" t="s">
        <v>178</v>
      </c>
      <c r="AC44" s="9" t="s">
        <v>179</v>
      </c>
      <c r="AD44" s="11"/>
      <c r="AE44" s="10">
        <v>-35</v>
      </c>
      <c r="AF44" s="10">
        <v>-37</v>
      </c>
      <c r="AG44" s="16">
        <v>1039</v>
      </c>
      <c r="AH44" s="16">
        <v>1241</v>
      </c>
      <c r="AI44" s="16">
        <v>1276</v>
      </c>
      <c r="AJ44" s="16">
        <v>1076</v>
      </c>
      <c r="AK44" s="16">
        <v>1176</v>
      </c>
      <c r="AL44" s="16">
        <v>200</v>
      </c>
      <c r="AM44" s="9" t="s">
        <v>99</v>
      </c>
    </row>
    <row r="45" spans="1:39" ht="20" customHeight="1" x14ac:dyDescent="0.15">
      <c r="A45" s="7">
        <v>93963628</v>
      </c>
      <c r="B45" s="8">
        <v>22704323</v>
      </c>
      <c r="C45" s="9" t="s">
        <v>174</v>
      </c>
      <c r="D45" s="9" t="s">
        <v>175</v>
      </c>
      <c r="E45" s="9" t="s">
        <v>40</v>
      </c>
      <c r="F45" s="9" t="s">
        <v>41</v>
      </c>
      <c r="G45" s="9" t="s">
        <v>54</v>
      </c>
      <c r="H45" s="9" t="s">
        <v>54</v>
      </c>
      <c r="I45" s="10">
        <v>1</v>
      </c>
      <c r="J45" s="9" t="s">
        <v>44</v>
      </c>
      <c r="K45" s="9" t="s">
        <v>176</v>
      </c>
      <c r="L45" s="10">
        <v>21.886382900000001</v>
      </c>
      <c r="M45" s="10">
        <v>-159.49278559999999</v>
      </c>
      <c r="N45" s="10">
        <v>1985</v>
      </c>
      <c r="O45" s="9" t="s">
        <v>46</v>
      </c>
      <c r="P45" s="10">
        <v>1987</v>
      </c>
      <c r="Q45" s="9" t="s">
        <v>46</v>
      </c>
      <c r="R45" s="9" t="s">
        <v>47</v>
      </c>
      <c r="S45" s="9" t="s">
        <v>177</v>
      </c>
      <c r="T45" s="11"/>
      <c r="U45" s="9" t="s">
        <v>155</v>
      </c>
      <c r="V45" s="10">
        <v>19.593801500000001</v>
      </c>
      <c r="W45" s="10">
        <v>-155.4283701</v>
      </c>
      <c r="X45" s="10">
        <v>1870</v>
      </c>
      <c r="Y45" s="9" t="s">
        <v>46</v>
      </c>
      <c r="Z45" s="10">
        <v>1879</v>
      </c>
      <c r="AA45" s="9" t="s">
        <v>46</v>
      </c>
      <c r="AB45" s="9" t="s">
        <v>157</v>
      </c>
      <c r="AC45" s="9" t="s">
        <v>159</v>
      </c>
      <c r="AD45" s="9" t="s">
        <v>160</v>
      </c>
      <c r="AE45" s="10">
        <v>-35</v>
      </c>
      <c r="AF45" s="10">
        <v>-37</v>
      </c>
      <c r="AG45" s="16">
        <v>80</v>
      </c>
      <c r="AH45" s="16">
        <v>71</v>
      </c>
      <c r="AI45" s="16">
        <v>106</v>
      </c>
      <c r="AJ45" s="16">
        <v>117</v>
      </c>
      <c r="AK45" s="16">
        <v>111.5</v>
      </c>
      <c r="AL45" s="16">
        <v>-11</v>
      </c>
      <c r="AM45" s="9" t="s">
        <v>103</v>
      </c>
    </row>
    <row r="46" spans="1:39" ht="20" customHeight="1" x14ac:dyDescent="0.15">
      <c r="A46" s="7">
        <v>93963628</v>
      </c>
      <c r="B46" s="8">
        <v>22704323</v>
      </c>
      <c r="C46" s="9" t="s">
        <v>174</v>
      </c>
      <c r="D46" s="9" t="s">
        <v>175</v>
      </c>
      <c r="E46" s="9" t="s">
        <v>40</v>
      </c>
      <c r="F46" s="9" t="s">
        <v>41</v>
      </c>
      <c r="G46" s="9" t="s">
        <v>54</v>
      </c>
      <c r="H46" s="9" t="s">
        <v>58</v>
      </c>
      <c r="I46" s="10">
        <v>0</v>
      </c>
      <c r="J46" s="9" t="s">
        <v>44</v>
      </c>
      <c r="K46" s="9" t="s">
        <v>176</v>
      </c>
      <c r="L46" s="10">
        <v>21.886382900000001</v>
      </c>
      <c r="M46" s="10">
        <v>-159.49278559999999</v>
      </c>
      <c r="N46" s="10">
        <v>1985</v>
      </c>
      <c r="O46" s="9" t="s">
        <v>46</v>
      </c>
      <c r="P46" s="10">
        <v>1987</v>
      </c>
      <c r="Q46" s="9" t="s">
        <v>46</v>
      </c>
      <c r="R46" s="9" t="s">
        <v>47</v>
      </c>
      <c r="S46" s="9" t="s">
        <v>177</v>
      </c>
      <c r="T46" s="11"/>
      <c r="U46" s="9" t="s">
        <v>155</v>
      </c>
      <c r="V46" s="10">
        <v>19.593801500000001</v>
      </c>
      <c r="W46" s="10">
        <v>-155.4283701</v>
      </c>
      <c r="X46" s="10">
        <v>1778</v>
      </c>
      <c r="Y46" s="9" t="s">
        <v>46</v>
      </c>
      <c r="Z46" s="10">
        <v>1778</v>
      </c>
      <c r="AA46" s="9" t="s">
        <v>46</v>
      </c>
      <c r="AB46" s="9" t="s">
        <v>157</v>
      </c>
      <c r="AC46" s="9" t="s">
        <v>161</v>
      </c>
      <c r="AD46" s="11"/>
      <c r="AE46" s="10">
        <v>-35</v>
      </c>
      <c r="AF46" s="10">
        <v>-37</v>
      </c>
      <c r="AG46" s="16">
        <v>172</v>
      </c>
      <c r="AH46" s="16">
        <v>172</v>
      </c>
      <c r="AI46" s="16">
        <v>207</v>
      </c>
      <c r="AJ46" s="16">
        <v>209</v>
      </c>
      <c r="AK46" s="16">
        <v>208</v>
      </c>
      <c r="AL46" s="16">
        <v>-2</v>
      </c>
      <c r="AM46" s="9" t="s">
        <v>103</v>
      </c>
    </row>
    <row r="47" spans="1:39" ht="20" customHeight="1" x14ac:dyDescent="0.15">
      <c r="A47" s="7">
        <v>93963628</v>
      </c>
      <c r="B47" s="8">
        <v>22704323</v>
      </c>
      <c r="C47" s="9" t="s">
        <v>174</v>
      </c>
      <c r="D47" s="9" t="s">
        <v>175</v>
      </c>
      <c r="E47" s="9" t="s">
        <v>40</v>
      </c>
      <c r="F47" s="9" t="s">
        <v>41</v>
      </c>
      <c r="G47" s="9" t="s">
        <v>54</v>
      </c>
      <c r="H47" s="9" t="s">
        <v>59</v>
      </c>
      <c r="I47" s="10">
        <v>0</v>
      </c>
      <c r="J47" s="9" t="s">
        <v>44</v>
      </c>
      <c r="K47" s="9" t="s">
        <v>176</v>
      </c>
      <c r="L47" s="10">
        <v>21.886382900000001</v>
      </c>
      <c r="M47" s="10">
        <v>-159.49278559999999</v>
      </c>
      <c r="N47" s="10">
        <v>1985</v>
      </c>
      <c r="O47" s="9" t="s">
        <v>46</v>
      </c>
      <c r="P47" s="10">
        <v>1987</v>
      </c>
      <c r="Q47" s="9" t="s">
        <v>46</v>
      </c>
      <c r="R47" s="9" t="s">
        <v>47</v>
      </c>
      <c r="S47" s="9" t="s">
        <v>177</v>
      </c>
      <c r="T47" s="11"/>
      <c r="U47" s="9" t="s">
        <v>155</v>
      </c>
      <c r="V47" s="10">
        <v>19.593801500000001</v>
      </c>
      <c r="W47" s="10">
        <v>-155.4283701</v>
      </c>
      <c r="X47" s="10">
        <v>1778</v>
      </c>
      <c r="Y47" s="9" t="s">
        <v>46</v>
      </c>
      <c r="Z47" s="10">
        <v>1778</v>
      </c>
      <c r="AA47" s="9" t="s">
        <v>46</v>
      </c>
      <c r="AB47" s="9" t="s">
        <v>157</v>
      </c>
      <c r="AC47" s="9" t="s">
        <v>161</v>
      </c>
      <c r="AD47" s="11"/>
      <c r="AE47" s="10">
        <v>-35</v>
      </c>
      <c r="AF47" s="10">
        <v>-37</v>
      </c>
      <c r="AG47" s="16">
        <v>172</v>
      </c>
      <c r="AH47" s="16">
        <v>172</v>
      </c>
      <c r="AI47" s="16">
        <v>207</v>
      </c>
      <c r="AJ47" s="16">
        <v>209</v>
      </c>
      <c r="AK47" s="16">
        <v>208</v>
      </c>
      <c r="AL47" s="16">
        <v>-2</v>
      </c>
      <c r="AM47" s="9" t="s">
        <v>103</v>
      </c>
    </row>
    <row r="48" spans="1:39" ht="20" customHeight="1" x14ac:dyDescent="0.15">
      <c r="A48" s="7">
        <v>93963979</v>
      </c>
      <c r="B48" s="8">
        <v>22704335</v>
      </c>
      <c r="C48" s="9" t="s">
        <v>180</v>
      </c>
      <c r="D48" s="9" t="s">
        <v>181</v>
      </c>
      <c r="E48" s="9" t="s">
        <v>40</v>
      </c>
      <c r="F48" s="9" t="s">
        <v>41</v>
      </c>
      <c r="G48" s="9" t="s">
        <v>54</v>
      </c>
      <c r="H48" s="9" t="s">
        <v>43</v>
      </c>
      <c r="I48" s="10">
        <v>0</v>
      </c>
      <c r="J48" s="9" t="s">
        <v>44</v>
      </c>
      <c r="K48" s="9" t="s">
        <v>182</v>
      </c>
      <c r="L48" s="10">
        <v>21.163164699999999</v>
      </c>
      <c r="M48" s="10">
        <v>-157.0482432</v>
      </c>
      <c r="N48" s="10">
        <v>1904</v>
      </c>
      <c r="O48" s="9" t="s">
        <v>46</v>
      </c>
      <c r="P48" s="10">
        <v>1904</v>
      </c>
      <c r="Q48" s="9" t="s">
        <v>46</v>
      </c>
      <c r="R48" s="9" t="s">
        <v>47</v>
      </c>
      <c r="S48" s="9" t="s">
        <v>183</v>
      </c>
      <c r="T48" s="11"/>
      <c r="U48" s="9" t="s">
        <v>155</v>
      </c>
      <c r="V48" s="10">
        <v>19.593801500000001</v>
      </c>
      <c r="W48" s="10">
        <v>-155.4283701</v>
      </c>
      <c r="X48" s="10">
        <v>800</v>
      </c>
      <c r="Y48" s="9" t="s">
        <v>72</v>
      </c>
      <c r="Z48" s="10">
        <v>800</v>
      </c>
      <c r="AA48" s="9" t="s">
        <v>72</v>
      </c>
      <c r="AB48" s="9" t="s">
        <v>157</v>
      </c>
      <c r="AC48" s="9" t="s">
        <v>158</v>
      </c>
      <c r="AD48" s="11"/>
      <c r="AE48" s="10">
        <v>46</v>
      </c>
      <c r="AF48" s="10">
        <v>46</v>
      </c>
      <c r="AG48" s="16">
        <v>800</v>
      </c>
      <c r="AH48" s="16">
        <v>800</v>
      </c>
      <c r="AI48" s="16">
        <v>754</v>
      </c>
      <c r="AJ48" s="16">
        <v>754</v>
      </c>
      <c r="AK48" s="16">
        <v>754</v>
      </c>
      <c r="AL48" s="16">
        <v>0</v>
      </c>
      <c r="AM48" s="9" t="s">
        <v>53</v>
      </c>
    </row>
    <row r="49" spans="1:39" ht="20" customHeight="1" x14ac:dyDescent="0.15">
      <c r="A49" s="7">
        <v>93963979</v>
      </c>
      <c r="B49" s="8">
        <v>22704335</v>
      </c>
      <c r="C49" s="9" t="s">
        <v>180</v>
      </c>
      <c r="D49" s="9" t="s">
        <v>181</v>
      </c>
      <c r="E49" s="9" t="s">
        <v>40</v>
      </c>
      <c r="F49" s="9" t="s">
        <v>41</v>
      </c>
      <c r="G49" s="9" t="s">
        <v>54</v>
      </c>
      <c r="H49" s="9" t="s">
        <v>54</v>
      </c>
      <c r="I49" s="10">
        <v>1</v>
      </c>
      <c r="J49" s="9" t="s">
        <v>44</v>
      </c>
      <c r="K49" s="9" t="s">
        <v>182</v>
      </c>
      <c r="L49" s="10">
        <v>21.163164699999999</v>
      </c>
      <c r="M49" s="10">
        <v>-157.0482432</v>
      </c>
      <c r="N49" s="10">
        <v>1904</v>
      </c>
      <c r="O49" s="9" t="s">
        <v>46</v>
      </c>
      <c r="P49" s="10">
        <v>1904</v>
      </c>
      <c r="Q49" s="9" t="s">
        <v>46</v>
      </c>
      <c r="R49" s="9" t="s">
        <v>47</v>
      </c>
      <c r="S49" s="9" t="s">
        <v>184</v>
      </c>
      <c r="T49" s="11"/>
      <c r="U49" s="9" t="s">
        <v>155</v>
      </c>
      <c r="V49" s="10">
        <v>19.593801500000001</v>
      </c>
      <c r="W49" s="10">
        <v>-155.4283701</v>
      </c>
      <c r="X49" s="10">
        <v>1870</v>
      </c>
      <c r="Y49" s="9" t="s">
        <v>46</v>
      </c>
      <c r="Z49" s="10">
        <v>1879</v>
      </c>
      <c r="AA49" s="9" t="s">
        <v>46</v>
      </c>
      <c r="AB49" s="9" t="s">
        <v>157</v>
      </c>
      <c r="AC49" s="9" t="s">
        <v>159</v>
      </c>
      <c r="AD49" s="11"/>
      <c r="AE49" s="10">
        <v>46</v>
      </c>
      <c r="AF49" s="10">
        <v>46</v>
      </c>
      <c r="AG49" s="16">
        <v>80</v>
      </c>
      <c r="AH49" s="16">
        <v>71</v>
      </c>
      <c r="AI49" s="16">
        <v>25</v>
      </c>
      <c r="AJ49" s="16">
        <v>34</v>
      </c>
      <c r="AK49" s="16">
        <v>29.5</v>
      </c>
      <c r="AL49" s="16">
        <v>-9</v>
      </c>
      <c r="AM49" s="9" t="s">
        <v>57</v>
      </c>
    </row>
    <row r="50" spans="1:39" ht="20" customHeight="1" x14ac:dyDescent="0.15">
      <c r="A50" s="7">
        <v>93963979</v>
      </c>
      <c r="B50" s="8">
        <v>22704335</v>
      </c>
      <c r="C50" s="9" t="s">
        <v>180</v>
      </c>
      <c r="D50" s="9" t="s">
        <v>181</v>
      </c>
      <c r="E50" s="9" t="s">
        <v>40</v>
      </c>
      <c r="F50" s="9" t="s">
        <v>41</v>
      </c>
      <c r="G50" s="9" t="s">
        <v>54</v>
      </c>
      <c r="H50" s="9" t="s">
        <v>58</v>
      </c>
      <c r="I50" s="10">
        <v>0</v>
      </c>
      <c r="J50" s="9" t="s">
        <v>44</v>
      </c>
      <c r="K50" s="9" t="s">
        <v>182</v>
      </c>
      <c r="L50" s="10">
        <v>21.163164699999999</v>
      </c>
      <c r="M50" s="10">
        <v>-157.0482432</v>
      </c>
      <c r="N50" s="10">
        <v>1904</v>
      </c>
      <c r="O50" s="9" t="s">
        <v>46</v>
      </c>
      <c r="P50" s="10">
        <v>1904</v>
      </c>
      <c r="Q50" s="9" t="s">
        <v>46</v>
      </c>
      <c r="R50" s="9" t="s">
        <v>47</v>
      </c>
      <c r="S50" s="9" t="s">
        <v>184</v>
      </c>
      <c r="T50" s="11"/>
      <c r="U50" s="9" t="s">
        <v>155</v>
      </c>
      <c r="V50" s="10">
        <v>19.593801500000001</v>
      </c>
      <c r="W50" s="10">
        <v>-155.4283701</v>
      </c>
      <c r="X50" s="10">
        <v>1778</v>
      </c>
      <c r="Y50" s="9" t="s">
        <v>46</v>
      </c>
      <c r="Z50" s="10">
        <v>1778</v>
      </c>
      <c r="AA50" s="9" t="s">
        <v>46</v>
      </c>
      <c r="AB50" s="9" t="s">
        <v>157</v>
      </c>
      <c r="AC50" s="9" t="s">
        <v>161</v>
      </c>
      <c r="AD50" s="11"/>
      <c r="AE50" s="10">
        <v>46</v>
      </c>
      <c r="AF50" s="10">
        <v>46</v>
      </c>
      <c r="AG50" s="16">
        <v>172</v>
      </c>
      <c r="AH50" s="16">
        <v>172</v>
      </c>
      <c r="AI50" s="16">
        <v>126</v>
      </c>
      <c r="AJ50" s="16">
        <v>126</v>
      </c>
      <c r="AK50" s="16">
        <v>126</v>
      </c>
      <c r="AL50" s="16">
        <v>0</v>
      </c>
      <c r="AM50" s="9" t="s">
        <v>103</v>
      </c>
    </row>
    <row r="51" spans="1:39" ht="20" customHeight="1" x14ac:dyDescent="0.15">
      <c r="A51" s="7">
        <v>93963979</v>
      </c>
      <c r="B51" s="8">
        <v>22704335</v>
      </c>
      <c r="C51" s="9" t="s">
        <v>180</v>
      </c>
      <c r="D51" s="9" t="s">
        <v>181</v>
      </c>
      <c r="E51" s="9" t="s">
        <v>40</v>
      </c>
      <c r="F51" s="9" t="s">
        <v>41</v>
      </c>
      <c r="G51" s="9" t="s">
        <v>54</v>
      </c>
      <c r="H51" s="9" t="s">
        <v>59</v>
      </c>
      <c r="I51" s="10">
        <v>0</v>
      </c>
      <c r="J51" s="9" t="s">
        <v>44</v>
      </c>
      <c r="K51" s="9" t="s">
        <v>182</v>
      </c>
      <c r="L51" s="10">
        <v>21.163164699999999</v>
      </c>
      <c r="M51" s="10">
        <v>-157.0482432</v>
      </c>
      <c r="N51" s="10">
        <v>1904</v>
      </c>
      <c r="O51" s="9" t="s">
        <v>46</v>
      </c>
      <c r="P51" s="10">
        <v>1904</v>
      </c>
      <c r="Q51" s="9" t="s">
        <v>46</v>
      </c>
      <c r="R51" s="9" t="s">
        <v>47</v>
      </c>
      <c r="S51" s="9" t="s">
        <v>184</v>
      </c>
      <c r="T51" s="11"/>
      <c r="U51" s="9" t="s">
        <v>155</v>
      </c>
      <c r="V51" s="10">
        <v>19.593801500000001</v>
      </c>
      <c r="W51" s="10">
        <v>-155.4283701</v>
      </c>
      <c r="X51" s="10">
        <v>1778</v>
      </c>
      <c r="Y51" s="9" t="s">
        <v>46</v>
      </c>
      <c r="Z51" s="10">
        <v>1778</v>
      </c>
      <c r="AA51" s="9" t="s">
        <v>46</v>
      </c>
      <c r="AB51" s="9" t="s">
        <v>157</v>
      </c>
      <c r="AC51" s="9" t="s">
        <v>161</v>
      </c>
      <c r="AD51" s="11"/>
      <c r="AE51" s="10">
        <v>46</v>
      </c>
      <c r="AF51" s="10">
        <v>46</v>
      </c>
      <c r="AG51" s="16">
        <v>172</v>
      </c>
      <c r="AH51" s="16">
        <v>172</v>
      </c>
      <c r="AI51" s="16">
        <v>126</v>
      </c>
      <c r="AJ51" s="16">
        <v>126</v>
      </c>
      <c r="AK51" s="16">
        <v>126</v>
      </c>
      <c r="AL51" s="16">
        <v>0</v>
      </c>
      <c r="AM51" s="9" t="s">
        <v>103</v>
      </c>
    </row>
    <row r="52" spans="1:39" ht="20" customHeight="1" x14ac:dyDescent="0.15">
      <c r="A52" s="7">
        <v>93982219</v>
      </c>
      <c r="B52" s="8">
        <v>22704724</v>
      </c>
      <c r="C52" s="9" t="s">
        <v>185</v>
      </c>
      <c r="D52" s="9" t="s">
        <v>186</v>
      </c>
      <c r="E52" s="9" t="s">
        <v>40</v>
      </c>
      <c r="F52" s="9" t="s">
        <v>41</v>
      </c>
      <c r="G52" s="9" t="s">
        <v>42</v>
      </c>
      <c r="H52" s="9" t="s">
        <v>54</v>
      </c>
      <c r="I52" s="10">
        <v>1</v>
      </c>
      <c r="J52" s="9" t="s">
        <v>44</v>
      </c>
      <c r="K52" s="9" t="s">
        <v>187</v>
      </c>
      <c r="L52" s="10">
        <v>-31.554016600000001</v>
      </c>
      <c r="M52" s="10">
        <v>159.08562559999999</v>
      </c>
      <c r="N52" s="10">
        <v>1928</v>
      </c>
      <c r="O52" s="9" t="s">
        <v>46</v>
      </c>
      <c r="P52" s="10">
        <v>1935</v>
      </c>
      <c r="Q52" s="9" t="s">
        <v>46</v>
      </c>
      <c r="R52" s="13" t="s">
        <v>548</v>
      </c>
      <c r="S52" s="22" t="s">
        <v>549</v>
      </c>
      <c r="T52" s="11"/>
      <c r="U52" s="9" t="s">
        <v>187</v>
      </c>
      <c r="V52" s="10">
        <v>-31.554016600000001</v>
      </c>
      <c r="W52" s="10">
        <v>159.08562559999999</v>
      </c>
      <c r="X52" s="10">
        <v>1918</v>
      </c>
      <c r="Y52" s="9" t="s">
        <v>46</v>
      </c>
      <c r="Z52" s="10">
        <v>1918</v>
      </c>
      <c r="AA52" s="9" t="s">
        <v>46</v>
      </c>
      <c r="AB52" s="9" t="s">
        <v>188</v>
      </c>
      <c r="AC52" s="9" t="s">
        <v>189</v>
      </c>
      <c r="AD52" s="11"/>
      <c r="AE52" s="10">
        <v>22</v>
      </c>
      <c r="AF52" s="10">
        <v>15</v>
      </c>
      <c r="AG52" s="16">
        <v>32</v>
      </c>
      <c r="AH52" s="16">
        <v>32</v>
      </c>
      <c r="AI52" s="16">
        <v>10</v>
      </c>
      <c r="AJ52" s="16">
        <v>17</v>
      </c>
      <c r="AK52" s="16">
        <v>13.5</v>
      </c>
      <c r="AL52" s="16">
        <v>-7</v>
      </c>
      <c r="AM52" s="9" t="s">
        <v>57</v>
      </c>
    </row>
    <row r="53" spans="1:39" ht="20" customHeight="1" x14ac:dyDescent="0.15">
      <c r="A53" s="7">
        <v>93982219</v>
      </c>
      <c r="B53" s="8">
        <v>22704724</v>
      </c>
      <c r="C53" s="9" t="s">
        <v>185</v>
      </c>
      <c r="D53" s="9" t="s">
        <v>186</v>
      </c>
      <c r="E53" s="9" t="s">
        <v>40</v>
      </c>
      <c r="F53" s="9" t="s">
        <v>41</v>
      </c>
      <c r="G53" s="9" t="s">
        <v>42</v>
      </c>
      <c r="H53" s="9" t="s">
        <v>59</v>
      </c>
      <c r="I53" s="10">
        <v>0</v>
      </c>
      <c r="J53" s="9" t="s">
        <v>44</v>
      </c>
      <c r="K53" s="9" t="s">
        <v>187</v>
      </c>
      <c r="L53" s="10">
        <v>-31.554016699999998</v>
      </c>
      <c r="M53" s="10">
        <v>159.08562570000001</v>
      </c>
      <c r="N53" s="10">
        <v>1928</v>
      </c>
      <c r="O53" s="9" t="s">
        <v>46</v>
      </c>
      <c r="P53" s="10">
        <v>1935</v>
      </c>
      <c r="Q53" s="9" t="s">
        <v>46</v>
      </c>
      <c r="R53" s="9" t="s">
        <v>47</v>
      </c>
      <c r="S53" s="22" t="s">
        <v>549</v>
      </c>
      <c r="T53" s="11"/>
      <c r="U53" s="9" t="s">
        <v>187</v>
      </c>
      <c r="V53" s="10">
        <v>-31.554016699999998</v>
      </c>
      <c r="W53" s="10">
        <v>159.08562570000001</v>
      </c>
      <c r="X53" s="10">
        <v>1860</v>
      </c>
      <c r="Y53" s="9" t="s">
        <v>46</v>
      </c>
      <c r="Z53" s="10">
        <v>1869</v>
      </c>
      <c r="AA53" s="9" t="s">
        <v>46</v>
      </c>
      <c r="AB53" s="9" t="s">
        <v>190</v>
      </c>
      <c r="AC53" s="9" t="s">
        <v>191</v>
      </c>
      <c r="AD53" s="11"/>
      <c r="AE53" s="10">
        <v>22</v>
      </c>
      <c r="AF53" s="10">
        <v>15</v>
      </c>
      <c r="AG53" s="16">
        <v>90</v>
      </c>
      <c r="AH53" s="16">
        <v>81</v>
      </c>
      <c r="AI53" s="16">
        <v>59</v>
      </c>
      <c r="AJ53" s="16">
        <v>75</v>
      </c>
      <c r="AK53" s="16">
        <v>67</v>
      </c>
      <c r="AL53" s="16">
        <v>-16</v>
      </c>
      <c r="AM53" s="9" t="s">
        <v>57</v>
      </c>
    </row>
    <row r="54" spans="1:39" ht="20" customHeight="1" x14ac:dyDescent="0.15">
      <c r="A54" s="7">
        <v>94026176</v>
      </c>
      <c r="B54" s="8">
        <v>22705595</v>
      </c>
      <c r="C54" s="9" t="s">
        <v>192</v>
      </c>
      <c r="D54" s="9" t="s">
        <v>193</v>
      </c>
      <c r="E54" s="9" t="s">
        <v>40</v>
      </c>
      <c r="F54" s="9" t="s">
        <v>41</v>
      </c>
      <c r="G54" s="9" t="s">
        <v>42</v>
      </c>
      <c r="H54" s="9" t="s">
        <v>43</v>
      </c>
      <c r="I54" s="10">
        <v>1</v>
      </c>
      <c r="J54" s="9" t="s">
        <v>44</v>
      </c>
      <c r="K54" s="9" t="s">
        <v>194</v>
      </c>
      <c r="L54" s="10">
        <v>-43.586562000000001</v>
      </c>
      <c r="M54" s="10">
        <v>171.21232939999999</v>
      </c>
      <c r="N54" s="10">
        <v>1905</v>
      </c>
      <c r="O54" s="9" t="s">
        <v>46</v>
      </c>
      <c r="P54" s="10">
        <v>1905</v>
      </c>
      <c r="Q54" s="9" t="s">
        <v>46</v>
      </c>
      <c r="R54" s="9" t="s">
        <v>47</v>
      </c>
      <c r="S54" s="9" t="s">
        <v>195</v>
      </c>
      <c r="T54" s="11"/>
      <c r="U54" s="9" t="s">
        <v>194</v>
      </c>
      <c r="V54" s="10">
        <v>-43.586562000000001</v>
      </c>
      <c r="W54" s="10">
        <v>171.21232939999999</v>
      </c>
      <c r="X54" s="10">
        <v>100</v>
      </c>
      <c r="Y54" s="9" t="s">
        <v>46</v>
      </c>
      <c r="Z54" s="10">
        <v>1200</v>
      </c>
      <c r="AA54" s="9" t="s">
        <v>46</v>
      </c>
      <c r="AB54" s="9" t="s">
        <v>196</v>
      </c>
      <c r="AC54" s="9" t="s">
        <v>197</v>
      </c>
      <c r="AD54" s="9" t="s">
        <v>198</v>
      </c>
      <c r="AE54" s="10">
        <v>45</v>
      </c>
      <c r="AF54" s="10">
        <v>45</v>
      </c>
      <c r="AG54" s="16">
        <v>1850</v>
      </c>
      <c r="AH54" s="16">
        <v>750</v>
      </c>
      <c r="AI54" s="16">
        <v>705</v>
      </c>
      <c r="AJ54" s="16">
        <v>1805</v>
      </c>
      <c r="AK54" s="16">
        <v>1255</v>
      </c>
      <c r="AL54" s="16">
        <v>-1100</v>
      </c>
      <c r="AM54" s="9" t="s">
        <v>53</v>
      </c>
    </row>
    <row r="55" spans="1:39" ht="20" customHeight="1" x14ac:dyDescent="0.15">
      <c r="A55" s="7">
        <v>94026176</v>
      </c>
      <c r="B55" s="8">
        <v>22705595</v>
      </c>
      <c r="C55" s="9" t="s">
        <v>192</v>
      </c>
      <c r="D55" s="9" t="s">
        <v>193</v>
      </c>
      <c r="E55" s="9" t="s">
        <v>40</v>
      </c>
      <c r="F55" s="9" t="s">
        <v>41</v>
      </c>
      <c r="G55" s="9" t="s">
        <v>42</v>
      </c>
      <c r="H55" s="9" t="s">
        <v>54</v>
      </c>
      <c r="I55" s="10">
        <v>1</v>
      </c>
      <c r="J55" s="9" t="s">
        <v>44</v>
      </c>
      <c r="K55" s="9" t="s">
        <v>194</v>
      </c>
      <c r="L55" s="10">
        <v>-43.586562000000001</v>
      </c>
      <c r="M55" s="10">
        <v>171.21232939999999</v>
      </c>
      <c r="N55" s="10">
        <v>1905</v>
      </c>
      <c r="O55" s="9" t="s">
        <v>46</v>
      </c>
      <c r="P55" s="10">
        <v>1905</v>
      </c>
      <c r="Q55" s="9" t="s">
        <v>46</v>
      </c>
      <c r="R55" s="9" t="s">
        <v>47</v>
      </c>
      <c r="S55" s="9" t="s">
        <v>195</v>
      </c>
      <c r="T55" s="11"/>
      <c r="U55" s="9" t="s">
        <v>45</v>
      </c>
      <c r="V55" s="10">
        <v>-41.286499999999997</v>
      </c>
      <c r="W55" s="10">
        <v>174.77619999999999</v>
      </c>
      <c r="X55" s="10">
        <v>1860</v>
      </c>
      <c r="Y55" s="9" t="s">
        <v>46</v>
      </c>
      <c r="Z55" s="10">
        <v>1860</v>
      </c>
      <c r="AA55" s="9" t="s">
        <v>46</v>
      </c>
      <c r="AB55" s="9" t="s">
        <v>55</v>
      </c>
      <c r="AC55" s="9" t="s">
        <v>56</v>
      </c>
      <c r="AD55" s="11"/>
      <c r="AE55" s="10">
        <v>45</v>
      </c>
      <c r="AF55" s="10">
        <v>45</v>
      </c>
      <c r="AG55" s="16">
        <v>90</v>
      </c>
      <c r="AH55" s="16">
        <v>90</v>
      </c>
      <c r="AI55" s="16">
        <v>45</v>
      </c>
      <c r="AJ55" s="16">
        <v>45</v>
      </c>
      <c r="AK55" s="16">
        <v>45</v>
      </c>
      <c r="AL55" s="16">
        <v>0</v>
      </c>
      <c r="AM55" s="9" t="s">
        <v>57</v>
      </c>
    </row>
    <row r="56" spans="1:39" ht="20" customHeight="1" x14ac:dyDescent="0.15">
      <c r="A56" s="7">
        <v>94026176</v>
      </c>
      <c r="B56" s="8">
        <v>22705595</v>
      </c>
      <c r="C56" s="9" t="s">
        <v>192</v>
      </c>
      <c r="D56" s="9" t="s">
        <v>193</v>
      </c>
      <c r="E56" s="9" t="s">
        <v>40</v>
      </c>
      <c r="F56" s="9" t="s">
        <v>41</v>
      </c>
      <c r="G56" s="9" t="s">
        <v>42</v>
      </c>
      <c r="H56" s="9" t="s">
        <v>58</v>
      </c>
      <c r="I56" s="10">
        <v>1</v>
      </c>
      <c r="J56" s="9" t="s">
        <v>44</v>
      </c>
      <c r="K56" s="9" t="s">
        <v>194</v>
      </c>
      <c r="L56" s="10">
        <v>-43.586562000000001</v>
      </c>
      <c r="M56" s="10">
        <v>171.21232939999999</v>
      </c>
      <c r="N56" s="10">
        <v>1905</v>
      </c>
      <c r="O56" s="9" t="s">
        <v>46</v>
      </c>
      <c r="P56" s="10">
        <v>1905</v>
      </c>
      <c r="Q56" s="9" t="s">
        <v>46</v>
      </c>
      <c r="R56" s="9" t="s">
        <v>47</v>
      </c>
      <c r="S56" s="9" t="s">
        <v>195</v>
      </c>
      <c r="T56" s="11"/>
      <c r="U56" s="9" t="s">
        <v>45</v>
      </c>
      <c r="V56" s="10">
        <v>-41.286499999999997</v>
      </c>
      <c r="W56" s="10">
        <v>174.77619999999999</v>
      </c>
      <c r="X56" s="10">
        <v>1790</v>
      </c>
      <c r="Y56" s="9" t="s">
        <v>46</v>
      </c>
      <c r="Z56" s="10">
        <v>1790</v>
      </c>
      <c r="AA56" s="9" t="s">
        <v>46</v>
      </c>
      <c r="AB56" s="9" t="s">
        <v>55</v>
      </c>
      <c r="AC56" s="9" t="s">
        <v>56</v>
      </c>
      <c r="AD56" s="11"/>
      <c r="AE56" s="10">
        <v>45</v>
      </c>
      <c r="AF56" s="10">
        <v>45</v>
      </c>
      <c r="AG56" s="16">
        <v>160</v>
      </c>
      <c r="AH56" s="16">
        <v>160</v>
      </c>
      <c r="AI56" s="16">
        <v>115</v>
      </c>
      <c r="AJ56" s="16">
        <v>115</v>
      </c>
      <c r="AK56" s="16">
        <v>115</v>
      </c>
      <c r="AL56" s="16">
        <v>0</v>
      </c>
      <c r="AM56" s="9" t="s">
        <v>103</v>
      </c>
    </row>
    <row r="57" spans="1:39" ht="20" customHeight="1" x14ac:dyDescent="0.15">
      <c r="A57" s="7">
        <v>94026176</v>
      </c>
      <c r="B57" s="8">
        <v>22705595</v>
      </c>
      <c r="C57" s="9" t="s">
        <v>192</v>
      </c>
      <c r="D57" s="9" t="s">
        <v>193</v>
      </c>
      <c r="E57" s="9" t="s">
        <v>40</v>
      </c>
      <c r="F57" s="9" t="s">
        <v>41</v>
      </c>
      <c r="G57" s="9" t="s">
        <v>42</v>
      </c>
      <c r="H57" s="9" t="s">
        <v>59</v>
      </c>
      <c r="I57" s="10">
        <v>0</v>
      </c>
      <c r="J57" s="9" t="s">
        <v>44</v>
      </c>
      <c r="K57" s="9" t="s">
        <v>194</v>
      </c>
      <c r="L57" s="10">
        <v>-43.586562000000001</v>
      </c>
      <c r="M57" s="10">
        <v>171.21232939999999</v>
      </c>
      <c r="N57" s="10">
        <v>1905</v>
      </c>
      <c r="O57" s="9" t="s">
        <v>46</v>
      </c>
      <c r="P57" s="10">
        <v>1905</v>
      </c>
      <c r="Q57" s="9" t="s">
        <v>46</v>
      </c>
      <c r="R57" s="9" t="s">
        <v>47</v>
      </c>
      <c r="S57" s="9" t="s">
        <v>195</v>
      </c>
      <c r="T57" s="11"/>
      <c r="U57" s="9" t="s">
        <v>45</v>
      </c>
      <c r="V57" s="10">
        <v>-41.286499999999997</v>
      </c>
      <c r="W57" s="10">
        <v>174.77619999999999</v>
      </c>
      <c r="X57" s="10">
        <v>1824</v>
      </c>
      <c r="Y57" s="9" t="s">
        <v>46</v>
      </c>
      <c r="Z57" s="10">
        <v>1824</v>
      </c>
      <c r="AA57" s="9" t="s">
        <v>46</v>
      </c>
      <c r="AB57" s="9" t="s">
        <v>55</v>
      </c>
      <c r="AC57" s="9" t="s">
        <v>56</v>
      </c>
      <c r="AD57" s="11"/>
      <c r="AE57" s="10">
        <v>45</v>
      </c>
      <c r="AF57" s="10">
        <v>45</v>
      </c>
      <c r="AG57" s="16">
        <v>126</v>
      </c>
      <c r="AH57" s="16">
        <v>126</v>
      </c>
      <c r="AI57" s="16">
        <v>81</v>
      </c>
      <c r="AJ57" s="16">
        <v>81</v>
      </c>
      <c r="AK57" s="16">
        <v>81</v>
      </c>
      <c r="AL57" s="16">
        <v>0</v>
      </c>
      <c r="AM57" s="9" t="s">
        <v>57</v>
      </c>
    </row>
    <row r="58" spans="1:39" ht="20" customHeight="1" x14ac:dyDescent="0.15">
      <c r="A58" s="7">
        <v>94048187</v>
      </c>
      <c r="B58" s="8">
        <v>22706052</v>
      </c>
      <c r="C58" s="9" t="s">
        <v>199</v>
      </c>
      <c r="D58" s="9" t="s">
        <v>200</v>
      </c>
      <c r="E58" s="9" t="s">
        <v>40</v>
      </c>
      <c r="F58" s="9" t="s">
        <v>201</v>
      </c>
      <c r="G58" s="9" t="s">
        <v>42</v>
      </c>
      <c r="H58" s="9" t="s">
        <v>43</v>
      </c>
      <c r="I58" s="10">
        <v>1</v>
      </c>
      <c r="J58" s="9" t="s">
        <v>202</v>
      </c>
      <c r="K58" s="9" t="s">
        <v>155</v>
      </c>
      <c r="L58" s="10">
        <v>19.593801500000001</v>
      </c>
      <c r="M58" s="10">
        <v>-155.4283701</v>
      </c>
      <c r="N58" s="10">
        <v>2002</v>
      </c>
      <c r="O58" s="9" t="s">
        <v>46</v>
      </c>
      <c r="P58" s="10">
        <v>2002</v>
      </c>
      <c r="Q58" s="9" t="s">
        <v>46</v>
      </c>
      <c r="R58" s="9" t="s">
        <v>47</v>
      </c>
      <c r="S58" s="9" t="s">
        <v>203</v>
      </c>
      <c r="T58" s="11"/>
      <c r="U58" s="9" t="s">
        <v>155</v>
      </c>
      <c r="V58" s="10">
        <v>19.593801500000001</v>
      </c>
      <c r="W58" s="10">
        <v>-155.4283701</v>
      </c>
      <c r="X58" s="10">
        <v>800</v>
      </c>
      <c r="Y58" s="9" t="s">
        <v>72</v>
      </c>
      <c r="Z58" s="10">
        <v>800</v>
      </c>
      <c r="AA58" s="9" t="s">
        <v>72</v>
      </c>
      <c r="AB58" s="9" t="s">
        <v>157</v>
      </c>
      <c r="AC58" s="9" t="s">
        <v>158</v>
      </c>
      <c r="AD58" s="11"/>
      <c r="AE58" s="10">
        <v>-52</v>
      </c>
      <c r="AF58" s="10">
        <v>-52</v>
      </c>
      <c r="AG58" s="16">
        <v>800</v>
      </c>
      <c r="AH58" s="16">
        <v>800</v>
      </c>
      <c r="AI58" s="16">
        <v>852</v>
      </c>
      <c r="AJ58" s="16">
        <v>852</v>
      </c>
      <c r="AK58" s="16">
        <v>852</v>
      </c>
      <c r="AL58" s="16">
        <v>0</v>
      </c>
      <c r="AM58" s="9" t="s">
        <v>53</v>
      </c>
    </row>
    <row r="59" spans="1:39" ht="20" customHeight="1" x14ac:dyDescent="0.15">
      <c r="A59" s="7">
        <v>94048187</v>
      </c>
      <c r="B59" s="8">
        <v>22706052</v>
      </c>
      <c r="C59" s="9" t="s">
        <v>199</v>
      </c>
      <c r="D59" s="9" t="s">
        <v>200</v>
      </c>
      <c r="E59" s="9" t="s">
        <v>40</v>
      </c>
      <c r="F59" s="9" t="s">
        <v>201</v>
      </c>
      <c r="G59" s="9" t="s">
        <v>42</v>
      </c>
      <c r="H59" s="9" t="s">
        <v>54</v>
      </c>
      <c r="I59" s="10">
        <v>1</v>
      </c>
      <c r="J59" s="9" t="s">
        <v>202</v>
      </c>
      <c r="K59" s="9" t="s">
        <v>155</v>
      </c>
      <c r="L59" s="10">
        <v>19.593801500000001</v>
      </c>
      <c r="M59" s="10">
        <v>-155.4283701</v>
      </c>
      <c r="N59" s="10">
        <v>2002</v>
      </c>
      <c r="O59" s="9" t="s">
        <v>46</v>
      </c>
      <c r="P59" s="10">
        <v>2002</v>
      </c>
      <c r="Q59" s="9" t="s">
        <v>46</v>
      </c>
      <c r="R59" s="9" t="s">
        <v>47</v>
      </c>
      <c r="S59" s="9" t="s">
        <v>203</v>
      </c>
      <c r="T59" s="11"/>
      <c r="U59" s="9" t="s">
        <v>155</v>
      </c>
      <c r="V59" s="10">
        <v>19.593801500000001</v>
      </c>
      <c r="W59" s="10">
        <v>-155.4283701</v>
      </c>
      <c r="X59" s="10">
        <v>1870</v>
      </c>
      <c r="Y59" s="9" t="s">
        <v>46</v>
      </c>
      <c r="Z59" s="10">
        <v>1879</v>
      </c>
      <c r="AA59" s="9" t="s">
        <v>46</v>
      </c>
      <c r="AB59" s="9" t="s">
        <v>157</v>
      </c>
      <c r="AC59" s="9" t="s">
        <v>159</v>
      </c>
      <c r="AD59" s="11"/>
      <c r="AE59" s="10">
        <v>-52</v>
      </c>
      <c r="AF59" s="10">
        <v>-52</v>
      </c>
      <c r="AG59" s="16">
        <v>80</v>
      </c>
      <c r="AH59" s="16">
        <v>71</v>
      </c>
      <c r="AI59" s="16">
        <v>123</v>
      </c>
      <c r="AJ59" s="16">
        <v>132</v>
      </c>
      <c r="AK59" s="16">
        <v>127.5</v>
      </c>
      <c r="AL59" s="16">
        <v>-9</v>
      </c>
      <c r="AM59" s="9" t="s">
        <v>103</v>
      </c>
    </row>
    <row r="60" spans="1:39" ht="20" customHeight="1" x14ac:dyDescent="0.15">
      <c r="A60" s="7">
        <v>94048187</v>
      </c>
      <c r="B60" s="8">
        <v>22706052</v>
      </c>
      <c r="C60" s="9" t="s">
        <v>199</v>
      </c>
      <c r="D60" s="9" t="s">
        <v>200</v>
      </c>
      <c r="E60" s="9" t="s">
        <v>40</v>
      </c>
      <c r="F60" s="9" t="s">
        <v>201</v>
      </c>
      <c r="G60" s="9" t="s">
        <v>42</v>
      </c>
      <c r="H60" s="9" t="s">
        <v>58</v>
      </c>
      <c r="I60" s="10">
        <v>1</v>
      </c>
      <c r="J60" s="9" t="s">
        <v>202</v>
      </c>
      <c r="K60" s="9" t="s">
        <v>155</v>
      </c>
      <c r="L60" s="10">
        <v>19.593801500000001</v>
      </c>
      <c r="M60" s="10">
        <v>-155.4283701</v>
      </c>
      <c r="N60" s="10">
        <v>2002</v>
      </c>
      <c r="O60" s="9" t="s">
        <v>46</v>
      </c>
      <c r="P60" s="10">
        <v>2002</v>
      </c>
      <c r="Q60" s="9" t="s">
        <v>46</v>
      </c>
      <c r="R60" s="9" t="s">
        <v>47</v>
      </c>
      <c r="S60" s="9" t="s">
        <v>203</v>
      </c>
      <c r="T60" s="11"/>
      <c r="U60" s="9" t="s">
        <v>155</v>
      </c>
      <c r="V60" s="10">
        <v>19.593801500000001</v>
      </c>
      <c r="W60" s="10">
        <v>-155.4283701</v>
      </c>
      <c r="X60" s="10">
        <v>1778</v>
      </c>
      <c r="Y60" s="9" t="s">
        <v>46</v>
      </c>
      <c r="Z60" s="10">
        <v>1778</v>
      </c>
      <c r="AA60" s="9" t="s">
        <v>46</v>
      </c>
      <c r="AB60" s="9" t="s">
        <v>157</v>
      </c>
      <c r="AC60" s="9" t="s">
        <v>161</v>
      </c>
      <c r="AD60" s="11"/>
      <c r="AE60" s="10">
        <v>-52</v>
      </c>
      <c r="AF60" s="10">
        <v>-52</v>
      </c>
      <c r="AG60" s="16">
        <v>172</v>
      </c>
      <c r="AH60" s="16">
        <v>172</v>
      </c>
      <c r="AI60" s="16">
        <v>224</v>
      </c>
      <c r="AJ60" s="16">
        <v>224</v>
      </c>
      <c r="AK60" s="16">
        <v>224</v>
      </c>
      <c r="AL60" s="16">
        <v>0</v>
      </c>
      <c r="AM60" s="9" t="s">
        <v>103</v>
      </c>
    </row>
    <row r="61" spans="1:39" ht="20" customHeight="1" x14ac:dyDescent="0.15">
      <c r="A61" s="7">
        <v>94048187</v>
      </c>
      <c r="B61" s="8">
        <v>22706052</v>
      </c>
      <c r="C61" s="9" t="s">
        <v>199</v>
      </c>
      <c r="D61" s="9" t="s">
        <v>200</v>
      </c>
      <c r="E61" s="9" t="s">
        <v>40</v>
      </c>
      <c r="F61" s="9" t="s">
        <v>201</v>
      </c>
      <c r="G61" s="9" t="s">
        <v>42</v>
      </c>
      <c r="H61" s="9" t="s">
        <v>59</v>
      </c>
      <c r="I61" s="10">
        <v>0</v>
      </c>
      <c r="J61" s="9" t="s">
        <v>202</v>
      </c>
      <c r="K61" s="9" t="s">
        <v>155</v>
      </c>
      <c r="L61" s="10">
        <v>19.593801500000001</v>
      </c>
      <c r="M61" s="10">
        <v>-155.4283701</v>
      </c>
      <c r="N61" s="10">
        <v>2002</v>
      </c>
      <c r="O61" s="9" t="s">
        <v>46</v>
      </c>
      <c r="P61" s="10">
        <v>2002</v>
      </c>
      <c r="Q61" s="9" t="s">
        <v>46</v>
      </c>
      <c r="R61" s="9" t="s">
        <v>47</v>
      </c>
      <c r="S61" s="9" t="s">
        <v>203</v>
      </c>
      <c r="T61" s="11"/>
      <c r="U61" s="9" t="s">
        <v>155</v>
      </c>
      <c r="V61" s="10">
        <v>19.593801500000001</v>
      </c>
      <c r="W61" s="10">
        <v>-155.4283701</v>
      </c>
      <c r="X61" s="10">
        <v>1778</v>
      </c>
      <c r="Y61" s="9" t="s">
        <v>46</v>
      </c>
      <c r="Z61" s="10">
        <v>1778</v>
      </c>
      <c r="AA61" s="9" t="s">
        <v>46</v>
      </c>
      <c r="AB61" s="9" t="s">
        <v>157</v>
      </c>
      <c r="AC61" s="9" t="s">
        <v>161</v>
      </c>
      <c r="AD61" s="11"/>
      <c r="AE61" s="10">
        <v>-52</v>
      </c>
      <c r="AF61" s="10">
        <v>-52</v>
      </c>
      <c r="AG61" s="16">
        <v>172</v>
      </c>
      <c r="AH61" s="16">
        <v>172</v>
      </c>
      <c r="AI61" s="16">
        <v>224</v>
      </c>
      <c r="AJ61" s="16">
        <v>224</v>
      </c>
      <c r="AK61" s="16">
        <v>224</v>
      </c>
      <c r="AL61" s="16">
        <v>0</v>
      </c>
      <c r="AM61" s="9" t="s">
        <v>103</v>
      </c>
    </row>
    <row r="62" spans="1:39" ht="20" customHeight="1" x14ac:dyDescent="0.15">
      <c r="A62" s="7">
        <v>94163698</v>
      </c>
      <c r="B62" s="8">
        <v>22708535</v>
      </c>
      <c r="C62" s="13" t="s">
        <v>204</v>
      </c>
      <c r="D62" s="9" t="s">
        <v>205</v>
      </c>
      <c r="E62" s="9" t="s">
        <v>40</v>
      </c>
      <c r="F62" s="9" t="s">
        <v>41</v>
      </c>
      <c r="G62" s="9" t="s">
        <v>42</v>
      </c>
      <c r="H62" s="9" t="s">
        <v>54</v>
      </c>
      <c r="I62" s="10">
        <v>1</v>
      </c>
      <c r="J62" s="9" t="s">
        <v>44</v>
      </c>
      <c r="K62" s="13" t="s">
        <v>81</v>
      </c>
      <c r="L62" s="10">
        <v>27.078337999999999</v>
      </c>
      <c r="M62" s="10">
        <v>142.21480199999999</v>
      </c>
      <c r="N62" s="10">
        <v>1828</v>
      </c>
      <c r="O62" s="9" t="s">
        <v>46</v>
      </c>
      <c r="P62" s="10">
        <v>1888</v>
      </c>
      <c r="Q62" s="9" t="s">
        <v>46</v>
      </c>
      <c r="R62" s="9" t="s">
        <v>47</v>
      </c>
      <c r="S62" s="9" t="s">
        <v>206</v>
      </c>
      <c r="T62" s="11"/>
      <c r="U62" s="9" t="s">
        <v>83</v>
      </c>
      <c r="V62" s="10">
        <v>27.078337999999999</v>
      </c>
      <c r="W62" s="10">
        <v>142.21480199999999</v>
      </c>
      <c r="X62" s="10">
        <v>1901</v>
      </c>
      <c r="Y62" s="9" t="s">
        <v>46</v>
      </c>
      <c r="Z62" s="10">
        <v>1925</v>
      </c>
      <c r="AA62" s="9" t="s">
        <v>46</v>
      </c>
      <c r="AB62" s="9" t="s">
        <v>84</v>
      </c>
      <c r="AC62" s="9" t="s">
        <v>85</v>
      </c>
      <c r="AD62" s="11"/>
      <c r="AE62" s="10">
        <v>122</v>
      </c>
      <c r="AF62" s="10">
        <v>62</v>
      </c>
      <c r="AG62" s="16">
        <v>49</v>
      </c>
      <c r="AH62" s="16">
        <v>25</v>
      </c>
      <c r="AI62" s="16">
        <v>-97</v>
      </c>
      <c r="AJ62" s="16">
        <v>-13</v>
      </c>
      <c r="AK62" s="16">
        <v>-55</v>
      </c>
      <c r="AL62" s="16">
        <v>-84</v>
      </c>
      <c r="AM62" s="9" t="s">
        <v>86</v>
      </c>
    </row>
    <row r="63" spans="1:39" ht="20" customHeight="1" x14ac:dyDescent="0.15">
      <c r="A63" s="7">
        <v>94163698</v>
      </c>
      <c r="B63" s="8">
        <v>22708535</v>
      </c>
      <c r="C63" s="9" t="s">
        <v>204</v>
      </c>
      <c r="D63" s="9" t="s">
        <v>205</v>
      </c>
      <c r="E63" s="9" t="s">
        <v>40</v>
      </c>
      <c r="F63" s="9" t="s">
        <v>41</v>
      </c>
      <c r="G63" s="9" t="s">
        <v>42</v>
      </c>
      <c r="H63" s="9" t="s">
        <v>58</v>
      </c>
      <c r="I63" s="10">
        <v>1</v>
      </c>
      <c r="J63" s="9" t="s">
        <v>44</v>
      </c>
      <c r="K63" s="9" t="s">
        <v>81</v>
      </c>
      <c r="L63" s="10">
        <v>27.078337999999999</v>
      </c>
      <c r="M63" s="10">
        <v>142.21480199999999</v>
      </c>
      <c r="N63" s="10">
        <v>1828</v>
      </c>
      <c r="O63" s="9" t="s">
        <v>46</v>
      </c>
      <c r="P63" s="10">
        <v>1888</v>
      </c>
      <c r="Q63" s="9" t="s">
        <v>46</v>
      </c>
      <c r="R63" s="9" t="s">
        <v>47</v>
      </c>
      <c r="S63" s="9" t="s">
        <v>207</v>
      </c>
      <c r="T63" s="11"/>
      <c r="U63" s="9" t="s">
        <v>83</v>
      </c>
      <c r="V63" s="10">
        <v>27.078337999999999</v>
      </c>
      <c r="W63" s="10">
        <v>142.21480199999999</v>
      </c>
      <c r="X63" s="10">
        <v>1603</v>
      </c>
      <c r="Y63" s="9" t="s">
        <v>46</v>
      </c>
      <c r="Z63" s="10">
        <v>1868</v>
      </c>
      <c r="AA63" s="9" t="s">
        <v>46</v>
      </c>
      <c r="AB63" s="9" t="s">
        <v>84</v>
      </c>
      <c r="AC63" s="9" t="s">
        <v>88</v>
      </c>
      <c r="AD63" s="11"/>
      <c r="AE63" s="10">
        <v>122</v>
      </c>
      <c r="AF63" s="10">
        <v>62</v>
      </c>
      <c r="AG63" s="16">
        <v>347</v>
      </c>
      <c r="AH63" s="16">
        <v>82</v>
      </c>
      <c r="AI63" s="16">
        <v>-40</v>
      </c>
      <c r="AJ63" s="16">
        <v>285</v>
      </c>
      <c r="AK63" s="16">
        <v>122.5</v>
      </c>
      <c r="AL63" s="16">
        <v>-325</v>
      </c>
      <c r="AM63" s="9" t="s">
        <v>128</v>
      </c>
    </row>
    <row r="64" spans="1:39" ht="20" customHeight="1" x14ac:dyDescent="0.15">
      <c r="A64" s="7">
        <v>94163698</v>
      </c>
      <c r="B64" s="8">
        <v>22708535</v>
      </c>
      <c r="C64" s="9" t="s">
        <v>204</v>
      </c>
      <c r="D64" s="9" t="s">
        <v>205</v>
      </c>
      <c r="E64" s="9" t="s">
        <v>40</v>
      </c>
      <c r="F64" s="9" t="s">
        <v>41</v>
      </c>
      <c r="G64" s="9" t="s">
        <v>42</v>
      </c>
      <c r="H64" s="9" t="s">
        <v>59</v>
      </c>
      <c r="I64" s="10">
        <v>0</v>
      </c>
      <c r="J64" s="9" t="s">
        <v>44</v>
      </c>
      <c r="K64" s="9" t="s">
        <v>81</v>
      </c>
      <c r="L64" s="10">
        <v>27.078337999999999</v>
      </c>
      <c r="M64" s="10">
        <v>142.21480199999999</v>
      </c>
      <c r="N64" s="10">
        <v>1828</v>
      </c>
      <c r="O64" s="9" t="s">
        <v>46</v>
      </c>
      <c r="P64" s="10">
        <v>1888</v>
      </c>
      <c r="Q64" s="9" t="s">
        <v>46</v>
      </c>
      <c r="R64" s="9" t="s">
        <v>47</v>
      </c>
      <c r="S64" s="9" t="s">
        <v>207</v>
      </c>
      <c r="T64" s="11"/>
      <c r="U64" s="9" t="s">
        <v>83</v>
      </c>
      <c r="V64" s="10">
        <v>27.078337999999999</v>
      </c>
      <c r="W64" s="10">
        <v>142.21480199999999</v>
      </c>
      <c r="X64" s="10">
        <v>1603</v>
      </c>
      <c r="Y64" s="9" t="s">
        <v>46</v>
      </c>
      <c r="Z64" s="10">
        <v>1868</v>
      </c>
      <c r="AA64" s="9" t="s">
        <v>46</v>
      </c>
      <c r="AB64" s="9" t="s">
        <v>84</v>
      </c>
      <c r="AC64" s="9" t="s">
        <v>90</v>
      </c>
      <c r="AD64" s="11"/>
      <c r="AE64" s="10">
        <v>122</v>
      </c>
      <c r="AF64" s="10">
        <v>62</v>
      </c>
      <c r="AG64" s="16">
        <v>347</v>
      </c>
      <c r="AH64" s="16">
        <v>82</v>
      </c>
      <c r="AI64" s="16">
        <v>-40</v>
      </c>
      <c r="AJ64" s="16">
        <v>285</v>
      </c>
      <c r="AK64" s="16">
        <v>122.5</v>
      </c>
      <c r="AL64" s="16">
        <v>-325</v>
      </c>
      <c r="AM64" s="9" t="s">
        <v>128</v>
      </c>
    </row>
    <row r="65" spans="1:39" ht="20" customHeight="1" x14ac:dyDescent="0.15">
      <c r="A65" s="7">
        <v>94248268</v>
      </c>
      <c r="B65" s="8">
        <v>22710496</v>
      </c>
      <c r="C65" s="9" t="s">
        <v>208</v>
      </c>
      <c r="D65" s="9" t="s">
        <v>209</v>
      </c>
      <c r="E65" s="9" t="s">
        <v>40</v>
      </c>
      <c r="F65" s="9" t="s">
        <v>41</v>
      </c>
      <c r="G65" s="9" t="s">
        <v>42</v>
      </c>
      <c r="H65" s="9" t="s">
        <v>43</v>
      </c>
      <c r="I65" s="10">
        <v>1</v>
      </c>
      <c r="J65" s="9" t="s">
        <v>44</v>
      </c>
      <c r="K65" s="9" t="s">
        <v>165</v>
      </c>
      <c r="L65" s="10">
        <v>5.3142620999999997</v>
      </c>
      <c r="M65" s="10">
        <v>162.98111539999999</v>
      </c>
      <c r="N65" s="10">
        <v>1827</v>
      </c>
      <c r="O65" s="9" t="s">
        <v>46</v>
      </c>
      <c r="P65" s="10">
        <v>1879</v>
      </c>
      <c r="Q65" s="9" t="s">
        <v>46</v>
      </c>
      <c r="R65" s="9" t="s">
        <v>47</v>
      </c>
      <c r="S65" s="9" t="s">
        <v>210</v>
      </c>
      <c r="T65" s="11"/>
      <c r="U65" s="9" t="s">
        <v>167</v>
      </c>
      <c r="V65" s="10">
        <v>6.8444960000000004</v>
      </c>
      <c r="W65" s="10">
        <v>158.33561900000001</v>
      </c>
      <c r="X65" s="10">
        <v>1400</v>
      </c>
      <c r="Y65" s="9" t="s">
        <v>46</v>
      </c>
      <c r="Z65" s="10">
        <v>1400</v>
      </c>
      <c r="AA65" s="9" t="s">
        <v>46</v>
      </c>
      <c r="AB65" s="9" t="s">
        <v>168</v>
      </c>
      <c r="AC65" s="9" t="s">
        <v>169</v>
      </c>
      <c r="AD65" s="9" t="s">
        <v>170</v>
      </c>
      <c r="AE65" s="10">
        <v>123</v>
      </c>
      <c r="AF65" s="10">
        <v>71</v>
      </c>
      <c r="AG65" s="16">
        <v>550</v>
      </c>
      <c r="AH65" s="16">
        <v>550</v>
      </c>
      <c r="AI65" s="16">
        <v>427</v>
      </c>
      <c r="AJ65" s="16">
        <v>479</v>
      </c>
      <c r="AK65" s="16">
        <v>453</v>
      </c>
      <c r="AL65" s="16">
        <v>-52</v>
      </c>
      <c r="AM65" s="9" t="s">
        <v>103</v>
      </c>
    </row>
    <row r="66" spans="1:39" ht="20" customHeight="1" x14ac:dyDescent="0.15">
      <c r="A66" s="7">
        <v>94248417</v>
      </c>
      <c r="B66" s="8">
        <v>22710499</v>
      </c>
      <c r="C66" s="9" t="s">
        <v>211</v>
      </c>
      <c r="D66" s="9" t="s">
        <v>212</v>
      </c>
      <c r="E66" s="9" t="s">
        <v>40</v>
      </c>
      <c r="F66" s="9" t="s">
        <v>41</v>
      </c>
      <c r="G66" s="9" t="s">
        <v>58</v>
      </c>
      <c r="H66" s="9" t="s">
        <v>54</v>
      </c>
      <c r="I66" s="10">
        <v>0</v>
      </c>
      <c r="J66" s="9" t="s">
        <v>44</v>
      </c>
      <c r="K66" s="9" t="s">
        <v>213</v>
      </c>
      <c r="L66" s="10">
        <v>-20.160777100000001</v>
      </c>
      <c r="M66" s="10">
        <v>-157.34114589999999</v>
      </c>
      <c r="N66" s="10">
        <v>1825</v>
      </c>
      <c r="O66" s="9" t="s">
        <v>46</v>
      </c>
      <c r="P66" s="10">
        <v>1974</v>
      </c>
      <c r="Q66" s="9" t="s">
        <v>46</v>
      </c>
      <c r="R66" s="9" t="s">
        <v>47</v>
      </c>
      <c r="S66" s="9" t="s">
        <v>214</v>
      </c>
      <c r="T66" s="11"/>
      <c r="U66" s="9" t="s">
        <v>215</v>
      </c>
      <c r="V66" s="10">
        <v>-21.236218000000001</v>
      </c>
      <c r="W66" s="10">
        <v>-159.77549500000001</v>
      </c>
      <c r="X66" s="10">
        <v>1880</v>
      </c>
      <c r="Y66" s="9" t="s">
        <v>46</v>
      </c>
      <c r="Z66" s="16">
        <v>1979</v>
      </c>
      <c r="AA66" s="9" t="s">
        <v>46</v>
      </c>
      <c r="AB66" s="13" t="s">
        <v>537</v>
      </c>
      <c r="AC66" s="13" t="s">
        <v>536</v>
      </c>
      <c r="AD66" s="11"/>
      <c r="AE66" s="10">
        <v>125</v>
      </c>
      <c r="AF66" s="10">
        <v>-24</v>
      </c>
      <c r="AG66" s="16">
        <v>70</v>
      </c>
      <c r="AH66" s="16">
        <v>-29</v>
      </c>
      <c r="AI66" s="16">
        <v>-154</v>
      </c>
      <c r="AJ66" s="16">
        <v>94</v>
      </c>
      <c r="AK66" s="16">
        <v>-30</v>
      </c>
      <c r="AL66" s="16">
        <v>-248</v>
      </c>
      <c r="AM66" s="9" t="s">
        <v>128</v>
      </c>
    </row>
    <row r="67" spans="1:39" ht="20" customHeight="1" x14ac:dyDescent="0.15">
      <c r="A67" s="7">
        <v>94248417</v>
      </c>
      <c r="B67" s="8">
        <v>22710499</v>
      </c>
      <c r="C67" s="9" t="s">
        <v>211</v>
      </c>
      <c r="D67" s="9" t="s">
        <v>212</v>
      </c>
      <c r="E67" s="9" t="s">
        <v>40</v>
      </c>
      <c r="F67" s="9" t="s">
        <v>41</v>
      </c>
      <c r="G67" s="9" t="s">
        <v>58</v>
      </c>
      <c r="H67" s="9" t="s">
        <v>58</v>
      </c>
      <c r="I67" s="10">
        <v>1</v>
      </c>
      <c r="J67" s="9" t="s">
        <v>44</v>
      </c>
      <c r="K67" s="9" t="s">
        <v>213</v>
      </c>
      <c r="L67" s="10">
        <v>-20.160777100000001</v>
      </c>
      <c r="M67" s="10">
        <v>-157.34114589999999</v>
      </c>
      <c r="N67" s="10">
        <v>1825</v>
      </c>
      <c r="O67" s="9" t="s">
        <v>46</v>
      </c>
      <c r="P67" s="10">
        <v>1974</v>
      </c>
      <c r="Q67" s="9" t="s">
        <v>46</v>
      </c>
      <c r="R67" s="9" t="s">
        <v>47</v>
      </c>
      <c r="S67" s="9" t="s">
        <v>214</v>
      </c>
      <c r="T67" s="11"/>
      <c r="U67" s="9" t="s">
        <v>215</v>
      </c>
      <c r="V67" s="10">
        <v>-21.236218000000001</v>
      </c>
      <c r="W67" s="10">
        <v>-159.77549500000001</v>
      </c>
      <c r="X67" s="10">
        <v>1801</v>
      </c>
      <c r="Y67" s="9" t="s">
        <v>46</v>
      </c>
      <c r="Z67" s="10">
        <v>1900</v>
      </c>
      <c r="AA67" s="9" t="s">
        <v>46</v>
      </c>
      <c r="AB67" s="9" t="s">
        <v>216</v>
      </c>
      <c r="AC67" s="9" t="s">
        <v>217</v>
      </c>
      <c r="AD67" s="9" t="s">
        <v>218</v>
      </c>
      <c r="AE67" s="10">
        <v>125</v>
      </c>
      <c r="AF67" s="10">
        <v>-24</v>
      </c>
      <c r="AG67" s="16">
        <v>149</v>
      </c>
      <c r="AH67" s="16">
        <v>50</v>
      </c>
      <c r="AI67" s="16">
        <v>-75</v>
      </c>
      <c r="AJ67" s="16">
        <v>173</v>
      </c>
      <c r="AK67" s="16">
        <v>49</v>
      </c>
      <c r="AL67" s="16">
        <v>-248</v>
      </c>
      <c r="AM67" s="9" t="s">
        <v>128</v>
      </c>
    </row>
    <row r="68" spans="1:39" ht="20" customHeight="1" x14ac:dyDescent="0.15">
      <c r="A68" s="7">
        <v>94249210</v>
      </c>
      <c r="B68" s="8">
        <v>22710511</v>
      </c>
      <c r="C68" s="9" t="s">
        <v>219</v>
      </c>
      <c r="D68" s="9" t="s">
        <v>220</v>
      </c>
      <c r="E68" s="9" t="s">
        <v>221</v>
      </c>
      <c r="F68" s="9" t="s">
        <v>41</v>
      </c>
      <c r="G68" s="9" t="s">
        <v>54</v>
      </c>
      <c r="H68" s="9" t="s">
        <v>54</v>
      </c>
      <c r="I68" s="10">
        <v>1</v>
      </c>
      <c r="J68" s="9" t="s">
        <v>44</v>
      </c>
      <c r="K68" s="9" t="s">
        <v>222</v>
      </c>
      <c r="L68" s="10">
        <v>-29.0328038</v>
      </c>
      <c r="M68" s="10">
        <v>167.9483137</v>
      </c>
      <c r="N68" s="10">
        <v>1923</v>
      </c>
      <c r="O68" s="9" t="s">
        <v>46</v>
      </c>
      <c r="P68" s="10">
        <v>1967</v>
      </c>
      <c r="Q68" s="9" t="s">
        <v>46</v>
      </c>
      <c r="R68" s="9" t="s">
        <v>47</v>
      </c>
      <c r="S68" s="9" t="s">
        <v>223</v>
      </c>
      <c r="T68" s="11"/>
      <c r="U68" s="9" t="s">
        <v>222</v>
      </c>
      <c r="V68" s="10">
        <v>-29.0328038</v>
      </c>
      <c r="W68" s="10">
        <v>167.9483137</v>
      </c>
      <c r="X68" s="10">
        <v>1790</v>
      </c>
      <c r="Y68" s="9" t="s">
        <v>46</v>
      </c>
      <c r="Z68" s="10">
        <v>1825</v>
      </c>
      <c r="AA68" s="9" t="s">
        <v>46</v>
      </c>
      <c r="AB68" s="9" t="s">
        <v>224</v>
      </c>
      <c r="AC68" s="9" t="s">
        <v>225</v>
      </c>
      <c r="AD68" s="9" t="s">
        <v>226</v>
      </c>
      <c r="AE68" s="10">
        <v>27</v>
      </c>
      <c r="AF68" s="10">
        <v>-17</v>
      </c>
      <c r="AG68" s="16">
        <v>160</v>
      </c>
      <c r="AH68" s="16">
        <v>125</v>
      </c>
      <c r="AI68" s="16">
        <v>98</v>
      </c>
      <c r="AJ68" s="16">
        <v>177</v>
      </c>
      <c r="AK68" s="16">
        <v>137.5</v>
      </c>
      <c r="AL68" s="16">
        <v>-79</v>
      </c>
      <c r="AM68" s="9" t="s">
        <v>57</v>
      </c>
    </row>
    <row r="69" spans="1:39" ht="20" customHeight="1" x14ac:dyDescent="0.15">
      <c r="A69" s="7">
        <v>94249210</v>
      </c>
      <c r="B69" s="8">
        <v>22710511</v>
      </c>
      <c r="C69" s="9" t="s">
        <v>219</v>
      </c>
      <c r="D69" s="9" t="s">
        <v>220</v>
      </c>
      <c r="E69" s="9" t="s">
        <v>221</v>
      </c>
      <c r="F69" s="9" t="s">
        <v>41</v>
      </c>
      <c r="G69" s="9" t="s">
        <v>54</v>
      </c>
      <c r="H69" s="9" t="s">
        <v>54</v>
      </c>
      <c r="I69" s="10">
        <v>1</v>
      </c>
      <c r="J69" s="9" t="s">
        <v>44</v>
      </c>
      <c r="K69" s="9" t="s">
        <v>187</v>
      </c>
      <c r="L69" s="10">
        <v>-31.554016699999998</v>
      </c>
      <c r="M69" s="10">
        <v>159.08562570000001</v>
      </c>
      <c r="N69" s="10">
        <v>1915</v>
      </c>
      <c r="O69" s="9" t="s">
        <v>46</v>
      </c>
      <c r="P69" s="10">
        <v>1928</v>
      </c>
      <c r="Q69" s="9" t="s">
        <v>46</v>
      </c>
      <c r="R69" s="9" t="s">
        <v>47</v>
      </c>
      <c r="S69" s="9" t="s">
        <v>227</v>
      </c>
      <c r="T69" s="11"/>
      <c r="U69" s="9" t="s">
        <v>187</v>
      </c>
      <c r="V69" s="10">
        <v>-31.554016699999998</v>
      </c>
      <c r="W69" s="10">
        <v>159.08562570000001</v>
      </c>
      <c r="X69" s="10">
        <v>1918</v>
      </c>
      <c r="Y69" s="9" t="s">
        <v>46</v>
      </c>
      <c r="Z69" s="10">
        <v>1918</v>
      </c>
      <c r="AA69" s="9" t="s">
        <v>46</v>
      </c>
      <c r="AB69" s="9" t="s">
        <v>188</v>
      </c>
      <c r="AC69" s="9" t="s">
        <v>189</v>
      </c>
      <c r="AD69" s="11"/>
      <c r="AE69" s="10">
        <v>35</v>
      </c>
      <c r="AF69" s="10">
        <v>22</v>
      </c>
      <c r="AG69" s="16">
        <v>32</v>
      </c>
      <c r="AH69" s="16">
        <v>32</v>
      </c>
      <c r="AI69" s="16">
        <v>-3</v>
      </c>
      <c r="AJ69" s="16">
        <v>10</v>
      </c>
      <c r="AK69" s="16">
        <v>3.5</v>
      </c>
      <c r="AL69" s="16">
        <v>-13</v>
      </c>
      <c r="AM69" s="9" t="s">
        <v>128</v>
      </c>
    </row>
    <row r="70" spans="1:39" ht="20" customHeight="1" x14ac:dyDescent="0.15">
      <c r="A70" s="7">
        <v>94406811</v>
      </c>
      <c r="B70" s="8">
        <v>22714223</v>
      </c>
      <c r="C70" s="9" t="s">
        <v>228</v>
      </c>
      <c r="D70" s="9" t="s">
        <v>229</v>
      </c>
      <c r="E70" s="9" t="s">
        <v>40</v>
      </c>
      <c r="F70" s="9" t="s">
        <v>41</v>
      </c>
      <c r="G70" s="9" t="s">
        <v>54</v>
      </c>
      <c r="H70" s="9" t="s">
        <v>54</v>
      </c>
      <c r="I70" s="10">
        <v>1</v>
      </c>
      <c r="J70" s="9" t="s">
        <v>44</v>
      </c>
      <c r="K70" s="9" t="s">
        <v>187</v>
      </c>
      <c r="L70" s="10">
        <v>-31.554016699999998</v>
      </c>
      <c r="M70" s="10">
        <v>159.08562570000001</v>
      </c>
      <c r="N70" s="10">
        <v>1908</v>
      </c>
      <c r="O70" s="9" t="s">
        <v>46</v>
      </c>
      <c r="P70" s="10">
        <v>1927</v>
      </c>
      <c r="Q70" s="9" t="s">
        <v>46</v>
      </c>
      <c r="R70" s="9" t="s">
        <v>47</v>
      </c>
      <c r="S70" s="9" t="s">
        <v>230</v>
      </c>
      <c r="T70" s="11"/>
      <c r="U70" s="9" t="s">
        <v>187</v>
      </c>
      <c r="V70" s="10">
        <v>-31.554016699999998</v>
      </c>
      <c r="W70" s="10">
        <v>159.08562570000001</v>
      </c>
      <c r="X70" s="10">
        <v>1918</v>
      </c>
      <c r="Y70" s="9" t="s">
        <v>46</v>
      </c>
      <c r="Z70" s="10">
        <v>1918</v>
      </c>
      <c r="AA70" s="9" t="s">
        <v>46</v>
      </c>
      <c r="AB70" s="9" t="s">
        <v>188</v>
      </c>
      <c r="AC70" s="9" t="s">
        <v>189</v>
      </c>
      <c r="AD70" s="11"/>
      <c r="AE70" s="10">
        <v>42</v>
      </c>
      <c r="AF70" s="10">
        <v>23</v>
      </c>
      <c r="AG70" s="16">
        <v>32</v>
      </c>
      <c r="AH70" s="16">
        <v>32</v>
      </c>
      <c r="AI70" s="16">
        <v>-10</v>
      </c>
      <c r="AJ70" s="16">
        <v>9</v>
      </c>
      <c r="AK70" s="16">
        <v>-0.5</v>
      </c>
      <c r="AL70" s="16">
        <v>-19</v>
      </c>
      <c r="AM70" s="9" t="s">
        <v>128</v>
      </c>
    </row>
    <row r="71" spans="1:39" ht="20" customHeight="1" x14ac:dyDescent="0.15">
      <c r="A71" s="7">
        <v>94421643</v>
      </c>
      <c r="B71" s="8">
        <v>22714587</v>
      </c>
      <c r="C71" s="9" t="s">
        <v>231</v>
      </c>
      <c r="D71" s="9" t="s">
        <v>232</v>
      </c>
      <c r="E71" s="9" t="s">
        <v>40</v>
      </c>
      <c r="F71" s="9" t="s">
        <v>41</v>
      </c>
      <c r="G71" s="9" t="s">
        <v>42</v>
      </c>
      <c r="H71" s="9" t="s">
        <v>54</v>
      </c>
      <c r="I71" s="10">
        <v>1</v>
      </c>
      <c r="J71" s="9" t="s">
        <v>44</v>
      </c>
      <c r="K71" s="9" t="s">
        <v>233</v>
      </c>
      <c r="L71" s="10">
        <v>-9.4318693000000007</v>
      </c>
      <c r="M71" s="10">
        <v>46.361217000000003</v>
      </c>
      <c r="N71" s="10">
        <v>1983</v>
      </c>
      <c r="O71" s="9" t="s">
        <v>46</v>
      </c>
      <c r="P71" s="10">
        <v>1985</v>
      </c>
      <c r="Q71" s="9" t="s">
        <v>46</v>
      </c>
      <c r="R71" s="9" t="s">
        <v>47</v>
      </c>
      <c r="S71" s="9" t="s">
        <v>234</v>
      </c>
      <c r="T71" s="11"/>
      <c r="U71" s="9" t="s">
        <v>235</v>
      </c>
      <c r="V71" s="10">
        <v>-9.3851410000000008</v>
      </c>
      <c r="W71" s="10">
        <v>46.215425000000003</v>
      </c>
      <c r="X71" s="10">
        <v>1890</v>
      </c>
      <c r="Y71" s="9" t="s">
        <v>46</v>
      </c>
      <c r="Z71" s="10">
        <v>1908</v>
      </c>
      <c r="AA71" s="9" t="s">
        <v>46</v>
      </c>
      <c r="AB71" s="9" t="s">
        <v>75</v>
      </c>
      <c r="AC71" s="9" t="s">
        <v>236</v>
      </c>
      <c r="AD71" s="11"/>
      <c r="AE71" s="10">
        <v>-33</v>
      </c>
      <c r="AF71" s="10">
        <v>-35</v>
      </c>
      <c r="AG71" s="16">
        <v>60</v>
      </c>
      <c r="AH71" s="16">
        <v>42</v>
      </c>
      <c r="AI71" s="16">
        <v>75</v>
      </c>
      <c r="AJ71" s="16">
        <v>95</v>
      </c>
      <c r="AK71" s="16">
        <v>85</v>
      </c>
      <c r="AL71" s="16">
        <v>-20</v>
      </c>
      <c r="AM71" s="9" t="s">
        <v>57</v>
      </c>
    </row>
    <row r="72" spans="1:39" ht="20" customHeight="1" x14ac:dyDescent="0.15">
      <c r="A72" s="7">
        <v>94686158</v>
      </c>
      <c r="B72" s="8">
        <v>22720840</v>
      </c>
      <c r="C72" s="9" t="s">
        <v>237</v>
      </c>
      <c r="D72" s="9" t="s">
        <v>238</v>
      </c>
      <c r="E72" s="9" t="s">
        <v>40</v>
      </c>
      <c r="F72" s="9" t="s">
        <v>41</v>
      </c>
      <c r="G72" s="9" t="s">
        <v>42</v>
      </c>
      <c r="H72" s="9" t="s">
        <v>43</v>
      </c>
      <c r="I72" s="10">
        <v>1</v>
      </c>
      <c r="J72" s="9" t="s">
        <v>44</v>
      </c>
      <c r="K72" s="9" t="s">
        <v>155</v>
      </c>
      <c r="L72" s="10">
        <v>19.593801500000001</v>
      </c>
      <c r="M72" s="10">
        <v>-155.4283701</v>
      </c>
      <c r="N72" s="10">
        <v>1892</v>
      </c>
      <c r="O72" s="9" t="s">
        <v>46</v>
      </c>
      <c r="P72" s="10">
        <v>1892</v>
      </c>
      <c r="Q72" s="9" t="s">
        <v>46</v>
      </c>
      <c r="R72" s="9" t="s">
        <v>47</v>
      </c>
      <c r="S72" s="9" t="s">
        <v>239</v>
      </c>
      <c r="T72" s="11"/>
      <c r="U72" s="9" t="s">
        <v>155</v>
      </c>
      <c r="V72" s="10">
        <v>19.593801500000001</v>
      </c>
      <c r="W72" s="10">
        <v>-155.4283701</v>
      </c>
      <c r="X72" s="10">
        <v>800</v>
      </c>
      <c r="Y72" s="9" t="s">
        <v>72</v>
      </c>
      <c r="Z72" s="10">
        <v>800</v>
      </c>
      <c r="AA72" s="9" t="s">
        <v>72</v>
      </c>
      <c r="AB72" s="9" t="s">
        <v>157</v>
      </c>
      <c r="AC72" s="9" t="s">
        <v>158</v>
      </c>
      <c r="AD72" s="11"/>
      <c r="AE72" s="10">
        <v>58</v>
      </c>
      <c r="AF72" s="10">
        <v>58</v>
      </c>
      <c r="AG72" s="16">
        <v>800</v>
      </c>
      <c r="AH72" s="16">
        <v>800</v>
      </c>
      <c r="AI72" s="16">
        <v>742</v>
      </c>
      <c r="AJ72" s="16">
        <v>742</v>
      </c>
      <c r="AK72" s="16">
        <v>742</v>
      </c>
      <c r="AL72" s="16">
        <v>0</v>
      </c>
      <c r="AM72" s="9" t="s">
        <v>53</v>
      </c>
    </row>
    <row r="73" spans="1:39" ht="20" customHeight="1" x14ac:dyDescent="0.15">
      <c r="A73" s="7">
        <v>94686158</v>
      </c>
      <c r="B73" s="8">
        <v>22720840</v>
      </c>
      <c r="C73" s="9" t="s">
        <v>237</v>
      </c>
      <c r="D73" s="9" t="s">
        <v>238</v>
      </c>
      <c r="E73" s="9" t="s">
        <v>40</v>
      </c>
      <c r="F73" s="9" t="s">
        <v>41</v>
      </c>
      <c r="G73" s="9" t="s">
        <v>42</v>
      </c>
      <c r="H73" s="9" t="s">
        <v>54</v>
      </c>
      <c r="I73" s="10">
        <v>1</v>
      </c>
      <c r="J73" s="9" t="s">
        <v>44</v>
      </c>
      <c r="K73" s="9" t="s">
        <v>155</v>
      </c>
      <c r="L73" s="10">
        <v>19.593801500000001</v>
      </c>
      <c r="M73" s="10">
        <v>-155.4283701</v>
      </c>
      <c r="N73" s="10">
        <v>1892</v>
      </c>
      <c r="O73" s="9" t="s">
        <v>46</v>
      </c>
      <c r="P73" s="10">
        <v>1892</v>
      </c>
      <c r="Q73" s="9" t="s">
        <v>46</v>
      </c>
      <c r="R73" s="9" t="s">
        <v>47</v>
      </c>
      <c r="S73" s="9" t="s">
        <v>239</v>
      </c>
      <c r="T73" s="11"/>
      <c r="U73" s="9" t="s">
        <v>155</v>
      </c>
      <c r="V73" s="10">
        <v>19.593801500000001</v>
      </c>
      <c r="W73" s="10">
        <v>-155.4283701</v>
      </c>
      <c r="X73" s="10">
        <v>1870</v>
      </c>
      <c r="Y73" s="9" t="s">
        <v>46</v>
      </c>
      <c r="Z73" s="10">
        <v>1879</v>
      </c>
      <c r="AA73" s="9" t="s">
        <v>46</v>
      </c>
      <c r="AB73" s="9" t="s">
        <v>157</v>
      </c>
      <c r="AC73" s="9" t="s">
        <v>159</v>
      </c>
      <c r="AD73" s="11"/>
      <c r="AE73" s="10">
        <v>58</v>
      </c>
      <c r="AF73" s="10">
        <v>58</v>
      </c>
      <c r="AG73" s="16">
        <v>80</v>
      </c>
      <c r="AH73" s="16">
        <v>71</v>
      </c>
      <c r="AI73" s="16">
        <v>13</v>
      </c>
      <c r="AJ73" s="16">
        <v>22</v>
      </c>
      <c r="AK73" s="16">
        <v>17.5</v>
      </c>
      <c r="AL73" s="16">
        <v>-9</v>
      </c>
      <c r="AM73" s="9" t="s">
        <v>57</v>
      </c>
    </row>
    <row r="74" spans="1:39" ht="20" customHeight="1" x14ac:dyDescent="0.15">
      <c r="A74" s="7">
        <v>94686158</v>
      </c>
      <c r="B74" s="8">
        <v>22720840</v>
      </c>
      <c r="C74" s="9" t="s">
        <v>237</v>
      </c>
      <c r="D74" s="9" t="s">
        <v>238</v>
      </c>
      <c r="E74" s="9" t="s">
        <v>40</v>
      </c>
      <c r="F74" s="9" t="s">
        <v>41</v>
      </c>
      <c r="G74" s="9" t="s">
        <v>42</v>
      </c>
      <c r="H74" s="9" t="s">
        <v>58</v>
      </c>
      <c r="I74" s="10">
        <v>1</v>
      </c>
      <c r="J74" s="9" t="s">
        <v>44</v>
      </c>
      <c r="K74" s="9" t="s">
        <v>155</v>
      </c>
      <c r="L74" s="10">
        <v>19.593801500000001</v>
      </c>
      <c r="M74" s="10">
        <v>-155.4283701</v>
      </c>
      <c r="N74" s="10">
        <v>1892</v>
      </c>
      <c r="O74" s="9" t="s">
        <v>46</v>
      </c>
      <c r="P74" s="10">
        <v>1892</v>
      </c>
      <c r="Q74" s="9" t="s">
        <v>46</v>
      </c>
      <c r="R74" s="9" t="s">
        <v>47</v>
      </c>
      <c r="S74" s="9" t="s">
        <v>239</v>
      </c>
      <c r="T74" s="11"/>
      <c r="U74" s="9" t="s">
        <v>155</v>
      </c>
      <c r="V74" s="10">
        <v>19.593801500000001</v>
      </c>
      <c r="W74" s="10">
        <v>-155.4283701</v>
      </c>
      <c r="X74" s="10">
        <v>1778</v>
      </c>
      <c r="Y74" s="9" t="s">
        <v>46</v>
      </c>
      <c r="Z74" s="10">
        <v>1778</v>
      </c>
      <c r="AA74" s="9" t="s">
        <v>46</v>
      </c>
      <c r="AB74" s="9" t="s">
        <v>157</v>
      </c>
      <c r="AC74" s="9" t="s">
        <v>161</v>
      </c>
      <c r="AD74" s="11"/>
      <c r="AE74" s="10">
        <v>58</v>
      </c>
      <c r="AF74" s="10">
        <v>58</v>
      </c>
      <c r="AG74" s="16">
        <v>172</v>
      </c>
      <c r="AH74" s="16">
        <v>172</v>
      </c>
      <c r="AI74" s="16">
        <v>114</v>
      </c>
      <c r="AJ74" s="16">
        <v>114</v>
      </c>
      <c r="AK74" s="16">
        <v>114</v>
      </c>
      <c r="AL74" s="16">
        <v>0</v>
      </c>
      <c r="AM74" s="9" t="s">
        <v>103</v>
      </c>
    </row>
    <row r="75" spans="1:39" ht="20" customHeight="1" x14ac:dyDescent="0.15">
      <c r="A75" s="7">
        <v>94686158</v>
      </c>
      <c r="B75" s="8">
        <v>22720840</v>
      </c>
      <c r="C75" s="9" t="s">
        <v>237</v>
      </c>
      <c r="D75" s="9" t="s">
        <v>238</v>
      </c>
      <c r="E75" s="9" t="s">
        <v>40</v>
      </c>
      <c r="F75" s="9" t="s">
        <v>41</v>
      </c>
      <c r="G75" s="9" t="s">
        <v>42</v>
      </c>
      <c r="H75" s="9" t="s">
        <v>59</v>
      </c>
      <c r="I75" s="10">
        <v>0</v>
      </c>
      <c r="J75" s="9" t="s">
        <v>44</v>
      </c>
      <c r="K75" s="9" t="s">
        <v>155</v>
      </c>
      <c r="L75" s="10">
        <v>19.593801500000001</v>
      </c>
      <c r="M75" s="10">
        <v>-155.4283701</v>
      </c>
      <c r="N75" s="10">
        <v>1892</v>
      </c>
      <c r="O75" s="9" t="s">
        <v>46</v>
      </c>
      <c r="P75" s="10">
        <v>1892</v>
      </c>
      <c r="Q75" s="9" t="s">
        <v>46</v>
      </c>
      <c r="R75" s="9" t="s">
        <v>47</v>
      </c>
      <c r="S75" s="9" t="s">
        <v>239</v>
      </c>
      <c r="T75" s="11"/>
      <c r="U75" s="9" t="s">
        <v>155</v>
      </c>
      <c r="V75" s="10">
        <v>19.593801500000001</v>
      </c>
      <c r="W75" s="10">
        <v>-155.4283701</v>
      </c>
      <c r="X75" s="10">
        <v>1778</v>
      </c>
      <c r="Y75" s="9" t="s">
        <v>46</v>
      </c>
      <c r="Z75" s="10">
        <v>1778</v>
      </c>
      <c r="AA75" s="9" t="s">
        <v>46</v>
      </c>
      <c r="AB75" s="9" t="s">
        <v>157</v>
      </c>
      <c r="AC75" s="9" t="s">
        <v>161</v>
      </c>
      <c r="AD75" s="11"/>
      <c r="AE75" s="10">
        <v>58</v>
      </c>
      <c r="AF75" s="10">
        <v>58</v>
      </c>
      <c r="AG75" s="16">
        <v>172</v>
      </c>
      <c r="AH75" s="16">
        <v>172</v>
      </c>
      <c r="AI75" s="16">
        <v>114</v>
      </c>
      <c r="AJ75" s="16">
        <v>114</v>
      </c>
      <c r="AK75" s="16">
        <v>114</v>
      </c>
      <c r="AL75" s="16">
        <v>0</v>
      </c>
      <c r="AM75" s="9" t="s">
        <v>103</v>
      </c>
    </row>
    <row r="76" spans="1:39" ht="20" customHeight="1" x14ac:dyDescent="0.15">
      <c r="A76" s="7">
        <v>94686803</v>
      </c>
      <c r="B76" s="8">
        <v>22720852</v>
      </c>
      <c r="C76" s="9" t="s">
        <v>240</v>
      </c>
      <c r="D76" s="9" t="s">
        <v>241</v>
      </c>
      <c r="E76" s="9" t="s">
        <v>40</v>
      </c>
      <c r="F76" s="9" t="s">
        <v>41</v>
      </c>
      <c r="G76" s="9" t="s">
        <v>42</v>
      </c>
      <c r="H76" s="9" t="s">
        <v>43</v>
      </c>
      <c r="I76" s="10">
        <v>1</v>
      </c>
      <c r="J76" s="9" t="s">
        <v>44</v>
      </c>
      <c r="K76" s="9" t="s">
        <v>242</v>
      </c>
      <c r="L76" s="10">
        <v>21.134489500000001</v>
      </c>
      <c r="M76" s="10">
        <v>-157.00715389999999</v>
      </c>
      <c r="N76" s="10">
        <v>1907</v>
      </c>
      <c r="O76" s="9" t="s">
        <v>46</v>
      </c>
      <c r="P76" s="10">
        <v>1907</v>
      </c>
      <c r="Q76" s="9" t="s">
        <v>46</v>
      </c>
      <c r="R76" s="9" t="s">
        <v>47</v>
      </c>
      <c r="S76" s="9" t="s">
        <v>243</v>
      </c>
      <c r="T76" s="11"/>
      <c r="U76" s="9" t="s">
        <v>155</v>
      </c>
      <c r="V76" s="10">
        <v>19.593801500000001</v>
      </c>
      <c r="W76" s="10">
        <v>-155.4283701</v>
      </c>
      <c r="X76" s="10">
        <v>800</v>
      </c>
      <c r="Y76" s="9" t="s">
        <v>72</v>
      </c>
      <c r="Z76" s="10">
        <v>800</v>
      </c>
      <c r="AA76" s="9" t="s">
        <v>72</v>
      </c>
      <c r="AB76" s="9" t="s">
        <v>157</v>
      </c>
      <c r="AC76" s="9" t="s">
        <v>158</v>
      </c>
      <c r="AD76" s="11"/>
      <c r="AE76" s="10">
        <v>43</v>
      </c>
      <c r="AF76" s="10">
        <v>43</v>
      </c>
      <c r="AG76" s="16">
        <v>800</v>
      </c>
      <c r="AH76" s="16">
        <v>800</v>
      </c>
      <c r="AI76" s="16">
        <v>757</v>
      </c>
      <c r="AJ76" s="16">
        <v>757</v>
      </c>
      <c r="AK76" s="16">
        <v>757</v>
      </c>
      <c r="AL76" s="16">
        <v>0</v>
      </c>
      <c r="AM76" s="9" t="s">
        <v>53</v>
      </c>
    </row>
    <row r="77" spans="1:39" ht="20" customHeight="1" x14ac:dyDescent="0.15">
      <c r="A77" s="7">
        <v>94686803</v>
      </c>
      <c r="B77" s="8">
        <v>22720852</v>
      </c>
      <c r="C77" s="9" t="s">
        <v>240</v>
      </c>
      <c r="D77" s="9" t="s">
        <v>241</v>
      </c>
      <c r="E77" s="9" t="s">
        <v>40</v>
      </c>
      <c r="F77" s="9" t="s">
        <v>41</v>
      </c>
      <c r="G77" s="9" t="s">
        <v>42</v>
      </c>
      <c r="H77" s="9" t="s">
        <v>54</v>
      </c>
      <c r="I77" s="10">
        <v>1</v>
      </c>
      <c r="J77" s="9" t="s">
        <v>44</v>
      </c>
      <c r="K77" s="9" t="s">
        <v>242</v>
      </c>
      <c r="L77" s="10">
        <v>21.134489500000001</v>
      </c>
      <c r="M77" s="10">
        <v>-157.00715389999999</v>
      </c>
      <c r="N77" s="10">
        <v>1907</v>
      </c>
      <c r="O77" s="9" t="s">
        <v>46</v>
      </c>
      <c r="P77" s="10">
        <v>1907</v>
      </c>
      <c r="Q77" s="9" t="s">
        <v>46</v>
      </c>
      <c r="R77" s="9" t="s">
        <v>47</v>
      </c>
      <c r="S77" s="9" t="s">
        <v>243</v>
      </c>
      <c r="T77" s="11"/>
      <c r="U77" s="9" t="s">
        <v>155</v>
      </c>
      <c r="V77" s="10">
        <v>19.593801500000001</v>
      </c>
      <c r="W77" s="10">
        <v>-155.4283701</v>
      </c>
      <c r="X77" s="10">
        <v>1870</v>
      </c>
      <c r="Y77" s="9" t="s">
        <v>46</v>
      </c>
      <c r="Z77" s="10">
        <v>1879</v>
      </c>
      <c r="AA77" s="9" t="s">
        <v>46</v>
      </c>
      <c r="AB77" s="9" t="s">
        <v>157</v>
      </c>
      <c r="AC77" s="9" t="s">
        <v>159</v>
      </c>
      <c r="AD77" s="11"/>
      <c r="AE77" s="10">
        <v>43</v>
      </c>
      <c r="AF77" s="10">
        <v>43</v>
      </c>
      <c r="AG77" s="16">
        <v>80</v>
      </c>
      <c r="AH77" s="16">
        <v>71</v>
      </c>
      <c r="AI77" s="16">
        <v>28</v>
      </c>
      <c r="AJ77" s="16">
        <v>37</v>
      </c>
      <c r="AK77" s="16">
        <v>32.5</v>
      </c>
      <c r="AL77" s="16">
        <v>-9</v>
      </c>
      <c r="AM77" s="9" t="s">
        <v>57</v>
      </c>
    </row>
    <row r="78" spans="1:39" ht="20" customHeight="1" x14ac:dyDescent="0.15">
      <c r="A78" s="7">
        <v>94686803</v>
      </c>
      <c r="B78" s="8">
        <v>22720852</v>
      </c>
      <c r="C78" s="9" t="s">
        <v>240</v>
      </c>
      <c r="D78" s="9" t="s">
        <v>241</v>
      </c>
      <c r="E78" s="9" t="s">
        <v>40</v>
      </c>
      <c r="F78" s="9" t="s">
        <v>41</v>
      </c>
      <c r="G78" s="9" t="s">
        <v>42</v>
      </c>
      <c r="H78" s="9" t="s">
        <v>58</v>
      </c>
      <c r="I78" s="10">
        <v>1</v>
      </c>
      <c r="J78" s="9" t="s">
        <v>44</v>
      </c>
      <c r="K78" s="9" t="s">
        <v>242</v>
      </c>
      <c r="L78" s="10">
        <v>21.134489500000001</v>
      </c>
      <c r="M78" s="10">
        <v>-157.00715389999999</v>
      </c>
      <c r="N78" s="10">
        <v>1907</v>
      </c>
      <c r="O78" s="9" t="s">
        <v>46</v>
      </c>
      <c r="P78" s="10">
        <v>1907</v>
      </c>
      <c r="Q78" s="9" t="s">
        <v>46</v>
      </c>
      <c r="R78" s="9" t="s">
        <v>47</v>
      </c>
      <c r="S78" s="9" t="s">
        <v>243</v>
      </c>
      <c r="T78" s="11"/>
      <c r="U78" s="9" t="s">
        <v>155</v>
      </c>
      <c r="V78" s="10">
        <v>19.593801500000001</v>
      </c>
      <c r="W78" s="10">
        <v>-155.4283701</v>
      </c>
      <c r="X78" s="10">
        <v>1778</v>
      </c>
      <c r="Y78" s="9" t="s">
        <v>46</v>
      </c>
      <c r="Z78" s="10">
        <v>1778</v>
      </c>
      <c r="AA78" s="9" t="s">
        <v>46</v>
      </c>
      <c r="AB78" s="9" t="s">
        <v>157</v>
      </c>
      <c r="AC78" s="9" t="s">
        <v>161</v>
      </c>
      <c r="AD78" s="11"/>
      <c r="AE78" s="10">
        <v>43</v>
      </c>
      <c r="AF78" s="10">
        <v>43</v>
      </c>
      <c r="AG78" s="16">
        <v>172</v>
      </c>
      <c r="AH78" s="16">
        <v>172</v>
      </c>
      <c r="AI78" s="16">
        <v>129</v>
      </c>
      <c r="AJ78" s="16">
        <v>129</v>
      </c>
      <c r="AK78" s="16">
        <v>129</v>
      </c>
      <c r="AL78" s="16">
        <v>0</v>
      </c>
      <c r="AM78" s="9" t="s">
        <v>103</v>
      </c>
    </row>
    <row r="79" spans="1:39" ht="20" customHeight="1" x14ac:dyDescent="0.15">
      <c r="A79" s="7">
        <v>94686803</v>
      </c>
      <c r="B79" s="8">
        <v>22720852</v>
      </c>
      <c r="C79" s="9" t="s">
        <v>240</v>
      </c>
      <c r="D79" s="9" t="s">
        <v>241</v>
      </c>
      <c r="E79" s="9" t="s">
        <v>40</v>
      </c>
      <c r="F79" s="9" t="s">
        <v>41</v>
      </c>
      <c r="G79" s="9" t="s">
        <v>42</v>
      </c>
      <c r="H79" s="9" t="s">
        <v>59</v>
      </c>
      <c r="I79" s="10">
        <v>0</v>
      </c>
      <c r="J79" s="9" t="s">
        <v>44</v>
      </c>
      <c r="K79" s="9" t="s">
        <v>242</v>
      </c>
      <c r="L79" s="10">
        <v>21.134489500000001</v>
      </c>
      <c r="M79" s="10">
        <v>-157.00715389999999</v>
      </c>
      <c r="N79" s="10">
        <v>1907</v>
      </c>
      <c r="O79" s="9" t="s">
        <v>46</v>
      </c>
      <c r="P79" s="10">
        <v>1907</v>
      </c>
      <c r="Q79" s="9" t="s">
        <v>46</v>
      </c>
      <c r="R79" s="9" t="s">
        <v>47</v>
      </c>
      <c r="S79" s="9" t="s">
        <v>243</v>
      </c>
      <c r="T79" s="11"/>
      <c r="U79" s="9" t="s">
        <v>155</v>
      </c>
      <c r="V79" s="10">
        <v>19.593801500000001</v>
      </c>
      <c r="W79" s="10">
        <v>-155.4283701</v>
      </c>
      <c r="X79" s="10">
        <v>1778</v>
      </c>
      <c r="Y79" s="9" t="s">
        <v>46</v>
      </c>
      <c r="Z79" s="10">
        <v>1778</v>
      </c>
      <c r="AA79" s="9" t="s">
        <v>46</v>
      </c>
      <c r="AB79" s="9" t="s">
        <v>157</v>
      </c>
      <c r="AC79" s="9" t="s">
        <v>161</v>
      </c>
      <c r="AD79" s="11"/>
      <c r="AE79" s="10">
        <v>43</v>
      </c>
      <c r="AF79" s="10">
        <v>43</v>
      </c>
      <c r="AG79" s="16">
        <v>172</v>
      </c>
      <c r="AH79" s="16">
        <v>172</v>
      </c>
      <c r="AI79" s="16">
        <v>129</v>
      </c>
      <c r="AJ79" s="16">
        <v>129</v>
      </c>
      <c r="AK79" s="16">
        <v>129</v>
      </c>
      <c r="AL79" s="16">
        <v>0</v>
      </c>
      <c r="AM79" s="9" t="s">
        <v>103</v>
      </c>
    </row>
    <row r="80" spans="1:39" ht="20" customHeight="1" x14ac:dyDescent="0.15">
      <c r="A80" s="7">
        <v>94951415</v>
      </c>
      <c r="B80" s="8">
        <v>22727515</v>
      </c>
      <c r="C80" s="9" t="s">
        <v>244</v>
      </c>
      <c r="D80" s="9" t="s">
        <v>245</v>
      </c>
      <c r="E80" s="9" t="s">
        <v>246</v>
      </c>
      <c r="F80" s="9" t="s">
        <v>41</v>
      </c>
      <c r="G80" s="9" t="s">
        <v>247</v>
      </c>
      <c r="H80" s="9" t="s">
        <v>43</v>
      </c>
      <c r="I80" s="10">
        <v>1</v>
      </c>
      <c r="J80" s="9" t="s">
        <v>44</v>
      </c>
      <c r="K80" s="9" t="s">
        <v>248</v>
      </c>
      <c r="L80" s="10">
        <v>-46.986719700000002</v>
      </c>
      <c r="M80" s="10">
        <v>167.882138</v>
      </c>
      <c r="N80" s="10">
        <v>1964</v>
      </c>
      <c r="O80" s="9" t="s">
        <v>46</v>
      </c>
      <c r="P80" s="10">
        <v>1964</v>
      </c>
      <c r="Q80" s="9" t="s">
        <v>46</v>
      </c>
      <c r="R80" s="9" t="s">
        <v>47</v>
      </c>
      <c r="S80" s="9" t="s">
        <v>249</v>
      </c>
      <c r="T80" s="11"/>
      <c r="U80" s="9" t="s">
        <v>248</v>
      </c>
      <c r="V80" s="10">
        <v>-46.986719700000002</v>
      </c>
      <c r="W80" s="10">
        <v>167.882138</v>
      </c>
      <c r="X80" s="10">
        <v>1600</v>
      </c>
      <c r="Y80" s="9" t="s">
        <v>46</v>
      </c>
      <c r="Z80" s="10">
        <v>1600</v>
      </c>
      <c r="AA80" s="9" t="s">
        <v>46</v>
      </c>
      <c r="AB80" s="9" t="s">
        <v>250</v>
      </c>
      <c r="AC80" s="9" t="s">
        <v>251</v>
      </c>
      <c r="AD80" s="11"/>
      <c r="AE80" s="10">
        <v>-14</v>
      </c>
      <c r="AF80" s="10">
        <v>-14</v>
      </c>
      <c r="AG80" s="16">
        <v>350</v>
      </c>
      <c r="AH80" s="16">
        <v>350</v>
      </c>
      <c r="AI80" s="16">
        <v>364</v>
      </c>
      <c r="AJ80" s="16">
        <v>364</v>
      </c>
      <c r="AK80" s="16">
        <v>364</v>
      </c>
      <c r="AL80" s="16">
        <v>0</v>
      </c>
      <c r="AM80" s="9" t="s">
        <v>103</v>
      </c>
    </row>
    <row r="81" spans="1:39" ht="20" customHeight="1" x14ac:dyDescent="0.15">
      <c r="A81" s="7">
        <v>94951415</v>
      </c>
      <c r="B81" s="8">
        <v>22727515</v>
      </c>
      <c r="C81" s="9" t="s">
        <v>244</v>
      </c>
      <c r="D81" s="9" t="s">
        <v>245</v>
      </c>
      <c r="E81" s="9" t="s">
        <v>246</v>
      </c>
      <c r="F81" s="9" t="s">
        <v>41</v>
      </c>
      <c r="G81" s="9" t="s">
        <v>247</v>
      </c>
      <c r="H81" s="9" t="s">
        <v>58</v>
      </c>
      <c r="I81" s="10">
        <v>0</v>
      </c>
      <c r="J81" s="9" t="s">
        <v>44</v>
      </c>
      <c r="K81" s="9" t="s">
        <v>248</v>
      </c>
      <c r="L81" s="10">
        <v>-46.986719700000002</v>
      </c>
      <c r="M81" s="10">
        <v>167.882138</v>
      </c>
      <c r="N81" s="10">
        <v>1964</v>
      </c>
      <c r="O81" s="9" t="s">
        <v>46</v>
      </c>
      <c r="P81" s="10">
        <v>1964</v>
      </c>
      <c r="Q81" s="9" t="s">
        <v>46</v>
      </c>
      <c r="R81" s="9" t="s">
        <v>47</v>
      </c>
      <c r="S81" s="9" t="s">
        <v>249</v>
      </c>
      <c r="T81" s="11"/>
      <c r="U81" s="9" t="s">
        <v>248</v>
      </c>
      <c r="V81" s="10">
        <v>-46.986719700000002</v>
      </c>
      <c r="W81" s="10">
        <v>167.882138</v>
      </c>
      <c r="X81" s="10">
        <v>1790</v>
      </c>
      <c r="Y81" s="9" t="s">
        <v>46</v>
      </c>
      <c r="Z81" s="10">
        <v>1800</v>
      </c>
      <c r="AA81" s="9" t="s">
        <v>46</v>
      </c>
      <c r="AB81" s="9" t="s">
        <v>250</v>
      </c>
      <c r="AC81" s="9" t="s">
        <v>252</v>
      </c>
      <c r="AD81" s="11"/>
      <c r="AE81" s="10">
        <v>-14</v>
      </c>
      <c r="AF81" s="10">
        <v>-14</v>
      </c>
      <c r="AG81" s="16">
        <v>160</v>
      </c>
      <c r="AH81" s="16">
        <v>150</v>
      </c>
      <c r="AI81" s="16">
        <v>164</v>
      </c>
      <c r="AJ81" s="16">
        <v>174</v>
      </c>
      <c r="AK81" s="16">
        <v>169</v>
      </c>
      <c r="AL81" s="16">
        <v>-10</v>
      </c>
      <c r="AM81" s="9" t="s">
        <v>103</v>
      </c>
    </row>
    <row r="82" spans="1:39" ht="20" customHeight="1" x14ac:dyDescent="0.15">
      <c r="A82" s="7">
        <v>94951415</v>
      </c>
      <c r="B82" s="8">
        <v>22727515</v>
      </c>
      <c r="C82" s="9" t="s">
        <v>244</v>
      </c>
      <c r="D82" s="9" t="s">
        <v>245</v>
      </c>
      <c r="E82" s="9" t="s">
        <v>246</v>
      </c>
      <c r="F82" s="9" t="s">
        <v>41</v>
      </c>
      <c r="G82" s="9" t="s">
        <v>247</v>
      </c>
      <c r="H82" s="9" t="s">
        <v>54</v>
      </c>
      <c r="I82" s="10">
        <v>1</v>
      </c>
      <c r="J82" s="9" t="s">
        <v>44</v>
      </c>
      <c r="K82" s="9" t="s">
        <v>248</v>
      </c>
      <c r="L82" s="10">
        <v>-46.986719700000002</v>
      </c>
      <c r="M82" s="10">
        <v>167.882138</v>
      </c>
      <c r="N82" s="10">
        <v>1964</v>
      </c>
      <c r="O82" s="9" t="s">
        <v>46</v>
      </c>
      <c r="P82" s="10">
        <v>1964</v>
      </c>
      <c r="Q82" s="9" t="s">
        <v>46</v>
      </c>
      <c r="R82" s="9" t="s">
        <v>47</v>
      </c>
      <c r="S82" s="9" t="s">
        <v>249</v>
      </c>
      <c r="T82" s="11"/>
      <c r="U82" s="9" t="s">
        <v>248</v>
      </c>
      <c r="V82" s="10">
        <v>-46.986719700000002</v>
      </c>
      <c r="W82" s="10">
        <v>167.882138</v>
      </c>
      <c r="X82" s="10">
        <v>1890</v>
      </c>
      <c r="Y82" s="9" t="s">
        <v>46</v>
      </c>
      <c r="Z82" s="10">
        <v>1890</v>
      </c>
      <c r="AA82" s="9" t="s">
        <v>46</v>
      </c>
      <c r="AB82" s="9" t="s">
        <v>250</v>
      </c>
      <c r="AC82" s="9" t="s">
        <v>253</v>
      </c>
      <c r="AD82" s="11"/>
      <c r="AE82" s="10">
        <v>-14</v>
      </c>
      <c r="AF82" s="10">
        <v>-14</v>
      </c>
      <c r="AG82" s="16">
        <v>60</v>
      </c>
      <c r="AH82" s="16">
        <v>60</v>
      </c>
      <c r="AI82" s="16">
        <v>74</v>
      </c>
      <c r="AJ82" s="16">
        <v>74</v>
      </c>
      <c r="AK82" s="16">
        <v>74</v>
      </c>
      <c r="AL82" s="16">
        <v>0</v>
      </c>
      <c r="AM82" s="9" t="s">
        <v>57</v>
      </c>
    </row>
    <row r="83" spans="1:39" s="24" customFormat="1" ht="20" customHeight="1" x14ac:dyDescent="0.15">
      <c r="A83" s="18">
        <v>94995240</v>
      </c>
      <c r="B83" s="19">
        <v>22728746</v>
      </c>
      <c r="C83" s="20" t="s">
        <v>254</v>
      </c>
      <c r="D83" s="20" t="s">
        <v>255</v>
      </c>
      <c r="E83" s="20" t="s">
        <v>256</v>
      </c>
      <c r="F83" s="20" t="s">
        <v>41</v>
      </c>
      <c r="G83" s="20" t="s">
        <v>42</v>
      </c>
      <c r="H83" s="20" t="s">
        <v>54</v>
      </c>
      <c r="I83" s="21">
        <v>1</v>
      </c>
      <c r="J83" s="20" t="s">
        <v>44</v>
      </c>
      <c r="K83" s="20" t="s">
        <v>257</v>
      </c>
      <c r="L83" s="21">
        <v>-15.965455199999999</v>
      </c>
      <c r="M83" s="21">
        <v>-5.7025756000000003</v>
      </c>
      <c r="N83" s="21">
        <v>1656</v>
      </c>
      <c r="O83" s="20" t="s">
        <v>46</v>
      </c>
      <c r="P83" s="21">
        <v>1656</v>
      </c>
      <c r="Q83" s="20" t="s">
        <v>46</v>
      </c>
      <c r="R83" s="22" t="s">
        <v>550</v>
      </c>
      <c r="S83" s="22" t="s">
        <v>551</v>
      </c>
      <c r="T83" s="23"/>
      <c r="U83" s="20" t="s">
        <v>257</v>
      </c>
      <c r="V83" s="21">
        <v>-15.965455199999999</v>
      </c>
      <c r="W83" s="21">
        <v>-5.7025756000000003</v>
      </c>
      <c r="X83" s="21">
        <v>1502</v>
      </c>
      <c r="Y83" s="20" t="s">
        <v>46</v>
      </c>
      <c r="Z83" s="21">
        <v>1754</v>
      </c>
      <c r="AA83" s="20" t="s">
        <v>46</v>
      </c>
      <c r="AB83" s="22" t="s">
        <v>553</v>
      </c>
      <c r="AC83" s="22" t="s">
        <v>552</v>
      </c>
      <c r="AD83" s="23"/>
      <c r="AE83" s="21">
        <v>294</v>
      </c>
      <c r="AF83" s="21">
        <v>294</v>
      </c>
      <c r="AG83" s="21">
        <v>448</v>
      </c>
      <c r="AH83" s="21">
        <v>196</v>
      </c>
      <c r="AI83" s="21">
        <f>AH83-AE83</f>
        <v>-98</v>
      </c>
      <c r="AJ83" s="21">
        <f>AG83-AF83</f>
        <v>154</v>
      </c>
      <c r="AK83" s="21">
        <f>(AJ83+AI83)/2</f>
        <v>28</v>
      </c>
      <c r="AL83" s="21">
        <f>AI83-AJ83</f>
        <v>-252</v>
      </c>
      <c r="AM83" s="20" t="s">
        <v>128</v>
      </c>
    </row>
    <row r="84" spans="1:39" ht="20" customHeight="1" x14ac:dyDescent="0.15">
      <c r="A84" s="7">
        <v>94995240</v>
      </c>
      <c r="B84" s="8">
        <v>22728746</v>
      </c>
      <c r="C84" s="9" t="s">
        <v>254</v>
      </c>
      <c r="D84" s="9" t="s">
        <v>255</v>
      </c>
      <c r="E84" s="9" t="s">
        <v>256</v>
      </c>
      <c r="F84" s="9" t="s">
        <v>41</v>
      </c>
      <c r="G84" s="9" t="s">
        <v>42</v>
      </c>
      <c r="H84" s="9" t="s">
        <v>58</v>
      </c>
      <c r="I84" s="10">
        <v>1</v>
      </c>
      <c r="J84" s="9" t="s">
        <v>44</v>
      </c>
      <c r="K84" s="9" t="s">
        <v>257</v>
      </c>
      <c r="L84" s="10">
        <v>-15.965455199999999</v>
      </c>
      <c r="M84" s="10">
        <v>-5.7025756000000003</v>
      </c>
      <c r="N84" s="10">
        <v>1656</v>
      </c>
      <c r="O84" s="9" t="s">
        <v>46</v>
      </c>
      <c r="P84" s="10">
        <v>1656</v>
      </c>
      <c r="Q84" s="9" t="s">
        <v>46</v>
      </c>
      <c r="R84" s="22" t="s">
        <v>550</v>
      </c>
      <c r="S84" s="22" t="s">
        <v>551</v>
      </c>
      <c r="T84" s="11"/>
      <c r="U84" s="9" t="s">
        <v>257</v>
      </c>
      <c r="V84" s="10">
        <v>-15.965455199999999</v>
      </c>
      <c r="W84" s="10">
        <v>-5.7025756000000003</v>
      </c>
      <c r="X84" s="10">
        <v>1702</v>
      </c>
      <c r="Y84" s="9" t="s">
        <v>46</v>
      </c>
      <c r="Z84" s="10">
        <v>1732</v>
      </c>
      <c r="AA84" s="9" t="s">
        <v>46</v>
      </c>
      <c r="AB84" s="9" t="s">
        <v>258</v>
      </c>
      <c r="AC84" s="9" t="s">
        <v>259</v>
      </c>
      <c r="AD84" s="11"/>
      <c r="AE84" s="10">
        <v>294</v>
      </c>
      <c r="AF84" s="10">
        <v>294</v>
      </c>
      <c r="AG84" s="16">
        <v>248</v>
      </c>
      <c r="AH84" s="16">
        <v>218</v>
      </c>
      <c r="AI84" s="16">
        <v>-76</v>
      </c>
      <c r="AJ84" s="16">
        <v>-46</v>
      </c>
      <c r="AK84" s="16">
        <v>-61</v>
      </c>
      <c r="AL84" s="16">
        <v>-30</v>
      </c>
      <c r="AM84" s="9" t="s">
        <v>86</v>
      </c>
    </row>
    <row r="85" spans="1:39" ht="20" customHeight="1" x14ac:dyDescent="0.15">
      <c r="A85" s="7">
        <v>94995836</v>
      </c>
      <c r="B85" s="8">
        <v>22728763</v>
      </c>
      <c r="C85" s="9" t="s">
        <v>260</v>
      </c>
      <c r="D85" s="9" t="s">
        <v>261</v>
      </c>
      <c r="E85" s="9" t="s">
        <v>262</v>
      </c>
      <c r="F85" s="9" t="s">
        <v>41</v>
      </c>
      <c r="G85" s="9" t="s">
        <v>42</v>
      </c>
      <c r="H85" s="9" t="s">
        <v>54</v>
      </c>
      <c r="I85" s="10">
        <v>1</v>
      </c>
      <c r="J85" s="9" t="s">
        <v>44</v>
      </c>
      <c r="K85" s="9" t="s">
        <v>263</v>
      </c>
      <c r="L85" s="10">
        <v>-37.1162068</v>
      </c>
      <c r="M85" s="10">
        <v>-12.282648399999999</v>
      </c>
      <c r="N85" s="10">
        <v>1873</v>
      </c>
      <c r="O85" s="9" t="s">
        <v>46</v>
      </c>
      <c r="P85" s="10">
        <v>1900</v>
      </c>
      <c r="Q85" s="9" t="s">
        <v>46</v>
      </c>
      <c r="R85" s="22" t="s">
        <v>555</v>
      </c>
      <c r="S85" s="22" t="s">
        <v>554</v>
      </c>
      <c r="T85" s="11"/>
      <c r="U85" s="9" t="s">
        <v>263</v>
      </c>
      <c r="V85" s="10">
        <v>-37.1162068</v>
      </c>
      <c r="W85" s="10">
        <v>-12.282648399999999</v>
      </c>
      <c r="X85" s="10">
        <v>1882</v>
      </c>
      <c r="Y85" s="9" t="s">
        <v>46</v>
      </c>
      <c r="Z85" s="10">
        <v>1882</v>
      </c>
      <c r="AA85" s="9" t="s">
        <v>46</v>
      </c>
      <c r="AB85" s="22" t="s">
        <v>543</v>
      </c>
      <c r="AC85" s="22" t="s">
        <v>541</v>
      </c>
      <c r="AD85" s="11"/>
      <c r="AE85" s="10">
        <v>77</v>
      </c>
      <c r="AF85" s="10">
        <v>50</v>
      </c>
      <c r="AG85" s="16">
        <v>68</v>
      </c>
      <c r="AH85" s="16">
        <v>68</v>
      </c>
      <c r="AI85" s="16">
        <v>-9</v>
      </c>
      <c r="AJ85" s="16">
        <v>18</v>
      </c>
      <c r="AK85" s="16">
        <v>4.5</v>
      </c>
      <c r="AL85" s="16">
        <v>-27</v>
      </c>
      <c r="AM85" s="9" t="s">
        <v>128</v>
      </c>
    </row>
    <row r="86" spans="1:39" ht="20" customHeight="1" x14ac:dyDescent="0.15">
      <c r="A86" s="7">
        <v>94995836</v>
      </c>
      <c r="B86" s="8">
        <v>22728763</v>
      </c>
      <c r="C86" s="9" t="s">
        <v>260</v>
      </c>
      <c r="D86" s="9" t="s">
        <v>261</v>
      </c>
      <c r="E86" s="9" t="s">
        <v>262</v>
      </c>
      <c r="F86" s="9" t="s">
        <v>41</v>
      </c>
      <c r="G86" s="9" t="s">
        <v>42</v>
      </c>
      <c r="H86" s="9" t="s">
        <v>59</v>
      </c>
      <c r="I86" s="10">
        <v>0</v>
      </c>
      <c r="J86" s="9" t="s">
        <v>44</v>
      </c>
      <c r="K86" s="9" t="s">
        <v>263</v>
      </c>
      <c r="L86" s="10">
        <v>-37.1162068</v>
      </c>
      <c r="M86" s="10">
        <v>-12.282648399999999</v>
      </c>
      <c r="N86" s="10">
        <v>1873</v>
      </c>
      <c r="O86" s="9" t="s">
        <v>46</v>
      </c>
      <c r="P86" s="10">
        <v>1900</v>
      </c>
      <c r="Q86" s="9" t="s">
        <v>46</v>
      </c>
      <c r="R86" s="22" t="s">
        <v>555</v>
      </c>
      <c r="S86" s="22" t="s">
        <v>554</v>
      </c>
      <c r="T86" s="11"/>
      <c r="U86" s="9" t="s">
        <v>263</v>
      </c>
      <c r="V86" s="10">
        <v>-37.1162068</v>
      </c>
      <c r="W86" s="10">
        <v>-12.282648399999999</v>
      </c>
      <c r="X86" s="10">
        <v>1701</v>
      </c>
      <c r="Y86" s="9" t="s">
        <v>46</v>
      </c>
      <c r="Z86" s="10">
        <v>1800</v>
      </c>
      <c r="AA86" s="9" t="s">
        <v>46</v>
      </c>
      <c r="AB86" s="9" t="s">
        <v>264</v>
      </c>
      <c r="AC86" s="9" t="s">
        <v>265</v>
      </c>
      <c r="AD86" s="11"/>
      <c r="AE86" s="10">
        <v>77</v>
      </c>
      <c r="AF86" s="10">
        <v>50</v>
      </c>
      <c r="AG86" s="16">
        <v>249</v>
      </c>
      <c r="AH86" s="16">
        <v>150</v>
      </c>
      <c r="AI86" s="16">
        <v>73</v>
      </c>
      <c r="AJ86" s="16">
        <v>199</v>
      </c>
      <c r="AK86" s="16">
        <v>136</v>
      </c>
      <c r="AL86" s="16">
        <v>-126</v>
      </c>
      <c r="AM86" s="9" t="s">
        <v>57</v>
      </c>
    </row>
    <row r="87" spans="1:39" ht="20" customHeight="1" x14ac:dyDescent="0.15">
      <c r="A87" s="7">
        <v>94996223</v>
      </c>
      <c r="B87" s="8">
        <v>22728772</v>
      </c>
      <c r="C87" s="9" t="s">
        <v>266</v>
      </c>
      <c r="D87" s="9" t="s">
        <v>267</v>
      </c>
      <c r="E87" s="9" t="s">
        <v>40</v>
      </c>
      <c r="F87" s="9" t="s">
        <v>41</v>
      </c>
      <c r="G87" s="9" t="s">
        <v>42</v>
      </c>
      <c r="H87" s="9" t="s">
        <v>43</v>
      </c>
      <c r="I87" s="10">
        <v>1</v>
      </c>
      <c r="J87" s="9" t="s">
        <v>44</v>
      </c>
      <c r="K87" s="9" t="s">
        <v>268</v>
      </c>
      <c r="L87" s="10">
        <v>-17.533306</v>
      </c>
      <c r="M87" s="10">
        <v>-149.83860060000001</v>
      </c>
      <c r="N87" s="10">
        <v>1777</v>
      </c>
      <c r="O87" s="9" t="s">
        <v>46</v>
      </c>
      <c r="P87" s="10">
        <v>1777</v>
      </c>
      <c r="Q87" s="9" t="s">
        <v>46</v>
      </c>
      <c r="R87" s="9" t="s">
        <v>47</v>
      </c>
      <c r="S87" s="9" t="s">
        <v>269</v>
      </c>
      <c r="T87" s="11"/>
      <c r="U87" s="9" t="s">
        <v>122</v>
      </c>
      <c r="V87" s="10">
        <v>-17.687343899999998</v>
      </c>
      <c r="W87" s="10">
        <v>-149.44516809999999</v>
      </c>
      <c r="X87" s="10">
        <v>520</v>
      </c>
      <c r="Y87" s="9" t="s">
        <v>72</v>
      </c>
      <c r="Z87" s="10">
        <v>640</v>
      </c>
      <c r="AA87" s="9" t="s">
        <v>72</v>
      </c>
      <c r="AB87" s="9" t="s">
        <v>124</v>
      </c>
      <c r="AC87" s="9" t="s">
        <v>125</v>
      </c>
      <c r="AD87" s="9" t="s">
        <v>126</v>
      </c>
      <c r="AE87" s="10">
        <v>173</v>
      </c>
      <c r="AF87" s="10">
        <v>173</v>
      </c>
      <c r="AG87" s="16">
        <v>520</v>
      </c>
      <c r="AH87" s="16">
        <v>640</v>
      </c>
      <c r="AI87" s="16">
        <v>467</v>
      </c>
      <c r="AJ87" s="16">
        <v>347</v>
      </c>
      <c r="AK87" s="16">
        <v>407</v>
      </c>
      <c r="AL87" s="16">
        <v>120</v>
      </c>
      <c r="AM87" s="9" t="s">
        <v>103</v>
      </c>
    </row>
    <row r="88" spans="1:39" ht="20" customHeight="1" x14ac:dyDescent="0.15">
      <c r="A88" s="7">
        <v>94996223</v>
      </c>
      <c r="B88" s="8">
        <v>22728772</v>
      </c>
      <c r="C88" s="9" t="s">
        <v>266</v>
      </c>
      <c r="D88" s="9" t="s">
        <v>267</v>
      </c>
      <c r="E88" s="9" t="s">
        <v>40</v>
      </c>
      <c r="F88" s="9" t="s">
        <v>41</v>
      </c>
      <c r="G88" s="9" t="s">
        <v>42</v>
      </c>
      <c r="H88" s="9" t="s">
        <v>54</v>
      </c>
      <c r="I88" s="10">
        <v>1</v>
      </c>
      <c r="J88" s="9" t="s">
        <v>44</v>
      </c>
      <c r="K88" s="9" t="s">
        <v>268</v>
      </c>
      <c r="L88" s="10">
        <v>-17.533306</v>
      </c>
      <c r="M88" s="10">
        <v>-149.83860060000001</v>
      </c>
      <c r="N88" s="10">
        <v>1777</v>
      </c>
      <c r="O88" s="9" t="s">
        <v>46</v>
      </c>
      <c r="P88" s="10">
        <v>1777</v>
      </c>
      <c r="Q88" s="9" t="s">
        <v>46</v>
      </c>
      <c r="R88" s="9" t="s">
        <v>47</v>
      </c>
      <c r="S88" s="9" t="s">
        <v>269</v>
      </c>
      <c r="T88" s="11"/>
      <c r="U88" s="9" t="s">
        <v>122</v>
      </c>
      <c r="V88" s="10">
        <v>-17.687343899999998</v>
      </c>
      <c r="W88" s="10">
        <v>-149.44516809999999</v>
      </c>
      <c r="X88" s="10">
        <v>1768</v>
      </c>
      <c r="Y88" s="9" t="s">
        <v>46</v>
      </c>
      <c r="Z88" s="10">
        <v>1919</v>
      </c>
      <c r="AA88" s="9" t="s">
        <v>46</v>
      </c>
      <c r="AB88" s="9" t="s">
        <v>124</v>
      </c>
      <c r="AC88" s="9" t="s">
        <v>127</v>
      </c>
      <c r="AD88" s="9" t="s">
        <v>126</v>
      </c>
      <c r="AE88" s="10">
        <v>173</v>
      </c>
      <c r="AF88" s="10">
        <v>173</v>
      </c>
      <c r="AG88" s="16">
        <v>182</v>
      </c>
      <c r="AH88" s="16">
        <v>31</v>
      </c>
      <c r="AI88" s="16">
        <v>-142</v>
      </c>
      <c r="AJ88" s="16">
        <v>9</v>
      </c>
      <c r="AK88" s="16">
        <v>-66.5</v>
      </c>
      <c r="AL88" s="16">
        <v>-151</v>
      </c>
      <c r="AM88" s="9" t="s">
        <v>128</v>
      </c>
    </row>
    <row r="89" spans="1:39" ht="20" customHeight="1" x14ac:dyDescent="0.15">
      <c r="A89" s="7">
        <v>94996223</v>
      </c>
      <c r="B89" s="8">
        <v>22728772</v>
      </c>
      <c r="C89" s="9" t="s">
        <v>266</v>
      </c>
      <c r="D89" s="9" t="s">
        <v>267</v>
      </c>
      <c r="E89" s="9" t="s">
        <v>40</v>
      </c>
      <c r="F89" s="9" t="s">
        <v>41</v>
      </c>
      <c r="G89" s="9" t="s">
        <v>42</v>
      </c>
      <c r="H89" s="9" t="s">
        <v>58</v>
      </c>
      <c r="I89" s="10">
        <v>1</v>
      </c>
      <c r="J89" s="9" t="s">
        <v>44</v>
      </c>
      <c r="K89" s="9" t="s">
        <v>268</v>
      </c>
      <c r="L89" s="10">
        <v>-17.533306</v>
      </c>
      <c r="M89" s="10">
        <v>-149.83860060000001</v>
      </c>
      <c r="N89" s="10">
        <v>1777</v>
      </c>
      <c r="O89" s="9" t="s">
        <v>46</v>
      </c>
      <c r="P89" s="10">
        <v>1777</v>
      </c>
      <c r="Q89" s="9" t="s">
        <v>46</v>
      </c>
      <c r="R89" s="9" t="s">
        <v>47</v>
      </c>
      <c r="S89" s="9" t="s">
        <v>269</v>
      </c>
      <c r="T89" s="11"/>
      <c r="U89" s="9" t="s">
        <v>122</v>
      </c>
      <c r="V89" s="10">
        <v>-17.687343899999998</v>
      </c>
      <c r="W89" s="10">
        <v>-149.44516809999999</v>
      </c>
      <c r="X89" s="10">
        <v>1767</v>
      </c>
      <c r="Y89" s="9" t="s">
        <v>46</v>
      </c>
      <c r="Z89" s="10">
        <v>1923</v>
      </c>
      <c r="AA89" s="9" t="s">
        <v>46</v>
      </c>
      <c r="AB89" s="9" t="s">
        <v>124</v>
      </c>
      <c r="AC89" s="9" t="s">
        <v>129</v>
      </c>
      <c r="AD89" s="9" t="s">
        <v>126</v>
      </c>
      <c r="AE89" s="10">
        <v>173</v>
      </c>
      <c r="AF89" s="10">
        <v>173</v>
      </c>
      <c r="AG89" s="16">
        <v>183</v>
      </c>
      <c r="AH89" s="16">
        <v>27</v>
      </c>
      <c r="AI89" s="16">
        <v>-146</v>
      </c>
      <c r="AJ89" s="16">
        <v>10</v>
      </c>
      <c r="AK89" s="16">
        <v>-68</v>
      </c>
      <c r="AL89" s="16">
        <v>-156</v>
      </c>
      <c r="AM89" s="9" t="s">
        <v>128</v>
      </c>
    </row>
    <row r="90" spans="1:39" ht="20" customHeight="1" x14ac:dyDescent="0.15">
      <c r="A90" s="7">
        <v>94997726</v>
      </c>
      <c r="B90" s="8">
        <v>22728814</v>
      </c>
      <c r="C90" s="9" t="s">
        <v>270</v>
      </c>
      <c r="D90" s="9" t="s">
        <v>271</v>
      </c>
      <c r="E90" s="9" t="s">
        <v>40</v>
      </c>
      <c r="F90" s="9" t="s">
        <v>41</v>
      </c>
      <c r="G90" s="9" t="s">
        <v>42</v>
      </c>
      <c r="H90" s="9" t="s">
        <v>43</v>
      </c>
      <c r="I90" s="10">
        <v>1</v>
      </c>
      <c r="J90" s="9" t="s">
        <v>44</v>
      </c>
      <c r="K90" s="9" t="s">
        <v>134</v>
      </c>
      <c r="L90" s="10">
        <v>-44.288153999999999</v>
      </c>
      <c r="M90" s="10">
        <v>-176.22134299999999</v>
      </c>
      <c r="N90" s="10">
        <v>1906</v>
      </c>
      <c r="O90" s="9" t="s">
        <v>46</v>
      </c>
      <c r="P90" s="10">
        <v>1937</v>
      </c>
      <c r="Q90" s="9" t="s">
        <v>46</v>
      </c>
      <c r="R90" s="9" t="s">
        <v>47</v>
      </c>
      <c r="S90" s="9" t="s">
        <v>272</v>
      </c>
      <c r="T90" s="11"/>
      <c r="U90" s="13" t="s">
        <v>528</v>
      </c>
      <c r="V90" s="10">
        <v>-44.288153999999999</v>
      </c>
      <c r="W90" s="10">
        <v>-176.22134299999999</v>
      </c>
      <c r="X90" s="10">
        <v>650</v>
      </c>
      <c r="Y90" s="9" t="s">
        <v>72</v>
      </c>
      <c r="Z90" s="10">
        <v>650</v>
      </c>
      <c r="AA90" s="9" t="s">
        <v>72</v>
      </c>
      <c r="AB90" s="9" t="s">
        <v>136</v>
      </c>
      <c r="AC90" s="9" t="s">
        <v>137</v>
      </c>
      <c r="AD90" s="11"/>
      <c r="AE90" s="10">
        <v>44</v>
      </c>
      <c r="AF90" s="10">
        <v>13</v>
      </c>
      <c r="AG90" s="16">
        <v>650</v>
      </c>
      <c r="AH90" s="16">
        <v>650</v>
      </c>
      <c r="AI90" s="16">
        <v>606</v>
      </c>
      <c r="AJ90" s="16">
        <v>637</v>
      </c>
      <c r="AK90" s="16">
        <v>621.5</v>
      </c>
      <c r="AL90" s="16">
        <v>-31</v>
      </c>
      <c r="AM90" s="9" t="s">
        <v>53</v>
      </c>
    </row>
    <row r="91" spans="1:39" ht="20" customHeight="1" x14ac:dyDescent="0.15">
      <c r="A91" s="7">
        <v>94997726</v>
      </c>
      <c r="B91" s="8">
        <v>22728814</v>
      </c>
      <c r="C91" s="9" t="s">
        <v>270</v>
      </c>
      <c r="D91" s="9" t="s">
        <v>271</v>
      </c>
      <c r="E91" s="9" t="s">
        <v>40</v>
      </c>
      <c r="F91" s="9" t="s">
        <v>41</v>
      </c>
      <c r="G91" s="9" t="s">
        <v>42</v>
      </c>
      <c r="H91" s="9" t="s">
        <v>54</v>
      </c>
      <c r="I91" s="10">
        <v>1</v>
      </c>
      <c r="J91" s="9" t="s">
        <v>44</v>
      </c>
      <c r="K91" s="9" t="s">
        <v>134</v>
      </c>
      <c r="L91" s="10">
        <v>-44.288153999999999</v>
      </c>
      <c r="M91" s="10">
        <v>-176.22134299999999</v>
      </c>
      <c r="N91" s="10">
        <v>1906</v>
      </c>
      <c r="O91" s="9" t="s">
        <v>46</v>
      </c>
      <c r="P91" s="10">
        <v>1937</v>
      </c>
      <c r="Q91" s="9" t="s">
        <v>46</v>
      </c>
      <c r="R91" s="9" t="s">
        <v>47</v>
      </c>
      <c r="S91" s="9" t="s">
        <v>272</v>
      </c>
      <c r="T91" s="11"/>
      <c r="U91" s="13" t="s">
        <v>528</v>
      </c>
      <c r="V91" s="10">
        <v>-44.288153999999999</v>
      </c>
      <c r="W91" s="10">
        <v>-176.22134299999999</v>
      </c>
      <c r="X91" s="10">
        <v>1845</v>
      </c>
      <c r="Y91" s="9" t="s">
        <v>46</v>
      </c>
      <c r="Z91" s="10">
        <v>1869</v>
      </c>
      <c r="AA91" s="9" t="s">
        <v>46</v>
      </c>
      <c r="AB91" s="14" t="s">
        <v>529</v>
      </c>
      <c r="AC91" s="9" t="s">
        <v>138</v>
      </c>
      <c r="AD91" s="11"/>
      <c r="AE91" s="10">
        <v>44</v>
      </c>
      <c r="AF91" s="10">
        <v>13</v>
      </c>
      <c r="AG91" s="16">
        <v>105</v>
      </c>
      <c r="AH91" s="16">
        <v>81</v>
      </c>
      <c r="AI91" s="16">
        <v>37</v>
      </c>
      <c r="AJ91" s="16">
        <v>92</v>
      </c>
      <c r="AK91" s="16">
        <v>64.5</v>
      </c>
      <c r="AL91" s="16">
        <v>-55</v>
      </c>
      <c r="AM91" s="9" t="s">
        <v>57</v>
      </c>
    </row>
    <row r="92" spans="1:39" ht="20" customHeight="1" x14ac:dyDescent="0.15">
      <c r="A92" s="7">
        <v>94997726</v>
      </c>
      <c r="B92" s="8">
        <v>22728814</v>
      </c>
      <c r="C92" s="9" t="s">
        <v>270</v>
      </c>
      <c r="D92" s="9" t="s">
        <v>271</v>
      </c>
      <c r="E92" s="9" t="s">
        <v>40</v>
      </c>
      <c r="F92" s="9" t="s">
        <v>41</v>
      </c>
      <c r="G92" s="9" t="s">
        <v>42</v>
      </c>
      <c r="H92" s="9" t="s">
        <v>58</v>
      </c>
      <c r="I92" s="10">
        <v>1</v>
      </c>
      <c r="J92" s="9" t="s">
        <v>44</v>
      </c>
      <c r="K92" s="9" t="s">
        <v>134</v>
      </c>
      <c r="L92" s="10">
        <v>-44.288153999999999</v>
      </c>
      <c r="M92" s="10">
        <v>-176.22134299999999</v>
      </c>
      <c r="N92" s="10">
        <v>1906</v>
      </c>
      <c r="O92" s="9" t="s">
        <v>46</v>
      </c>
      <c r="P92" s="10">
        <v>1937</v>
      </c>
      <c r="Q92" s="9" t="s">
        <v>46</v>
      </c>
      <c r="R92" s="9" t="s">
        <v>47</v>
      </c>
      <c r="S92" s="9" t="s">
        <v>272</v>
      </c>
      <c r="T92" s="11"/>
      <c r="U92" s="13" t="s">
        <v>528</v>
      </c>
      <c r="V92" s="10">
        <v>-44.288153999999999</v>
      </c>
      <c r="W92" s="10">
        <v>-176.22134299999999</v>
      </c>
      <c r="X92" s="10">
        <v>1952</v>
      </c>
      <c r="Y92" s="9" t="s">
        <v>46</v>
      </c>
      <c r="Z92" s="10">
        <v>1977</v>
      </c>
      <c r="AA92" s="9" t="s">
        <v>46</v>
      </c>
      <c r="AB92" s="14" t="s">
        <v>529</v>
      </c>
      <c r="AC92" s="9" t="s">
        <v>139</v>
      </c>
      <c r="AD92" s="11"/>
      <c r="AE92" s="10">
        <v>44</v>
      </c>
      <c r="AF92" s="10">
        <v>13</v>
      </c>
      <c r="AG92" s="16">
        <v>-2</v>
      </c>
      <c r="AH92" s="16">
        <v>-27</v>
      </c>
      <c r="AI92" s="16">
        <v>-71</v>
      </c>
      <c r="AJ92" s="16">
        <v>-15</v>
      </c>
      <c r="AK92" s="16">
        <v>-43</v>
      </c>
      <c r="AL92" s="16">
        <v>-56</v>
      </c>
      <c r="AM92" s="9" t="s">
        <v>86</v>
      </c>
    </row>
    <row r="93" spans="1:39" ht="20" customHeight="1" x14ac:dyDescent="0.15">
      <c r="A93" s="7">
        <v>94997902</v>
      </c>
      <c r="B93" s="8">
        <v>22728820</v>
      </c>
      <c r="C93" s="9" t="s">
        <v>273</v>
      </c>
      <c r="D93" s="9" t="s">
        <v>274</v>
      </c>
      <c r="E93" s="9" t="s">
        <v>40</v>
      </c>
      <c r="F93" s="9" t="s">
        <v>41</v>
      </c>
      <c r="G93" s="9" t="s">
        <v>42</v>
      </c>
      <c r="H93" s="9" t="s">
        <v>43</v>
      </c>
      <c r="I93" s="10">
        <v>1</v>
      </c>
      <c r="J93" s="9" t="s">
        <v>44</v>
      </c>
      <c r="K93" s="9" t="s">
        <v>275</v>
      </c>
      <c r="L93" s="10">
        <v>-38.003530400000002</v>
      </c>
      <c r="M93" s="10">
        <v>175.9578526</v>
      </c>
      <c r="N93" s="10">
        <v>1902</v>
      </c>
      <c r="O93" s="9" t="s">
        <v>46</v>
      </c>
      <c r="P93" s="10">
        <v>1969</v>
      </c>
      <c r="Q93" s="9" t="s">
        <v>46</v>
      </c>
      <c r="R93" s="9" t="s">
        <v>47</v>
      </c>
      <c r="S93" s="9" t="s">
        <v>276</v>
      </c>
      <c r="T93" s="11"/>
      <c r="U93" s="9" t="s">
        <v>275</v>
      </c>
      <c r="V93" s="10">
        <v>-38.003530400000002</v>
      </c>
      <c r="W93" s="10">
        <v>175.9578526</v>
      </c>
      <c r="X93" s="10">
        <v>100</v>
      </c>
      <c r="Y93" s="9" t="s">
        <v>46</v>
      </c>
      <c r="Z93" s="10">
        <v>1200</v>
      </c>
      <c r="AA93" s="9" t="s">
        <v>46</v>
      </c>
      <c r="AB93" s="9" t="s">
        <v>196</v>
      </c>
      <c r="AC93" s="9" t="s">
        <v>197</v>
      </c>
      <c r="AD93" s="9" t="s">
        <v>198</v>
      </c>
      <c r="AE93" s="10">
        <v>48</v>
      </c>
      <c r="AF93" s="10">
        <v>-19</v>
      </c>
      <c r="AG93" s="16">
        <v>1850</v>
      </c>
      <c r="AH93" s="16">
        <v>750</v>
      </c>
      <c r="AI93" s="16">
        <v>702</v>
      </c>
      <c r="AJ93" s="16">
        <v>1869</v>
      </c>
      <c r="AK93" s="16">
        <v>1285.5</v>
      </c>
      <c r="AL93" s="16">
        <v>-1167</v>
      </c>
      <c r="AM93" s="9" t="s">
        <v>53</v>
      </c>
    </row>
    <row r="94" spans="1:39" ht="20" customHeight="1" x14ac:dyDescent="0.15">
      <c r="A94" s="7">
        <v>94997902</v>
      </c>
      <c r="B94" s="8">
        <v>22728820</v>
      </c>
      <c r="C94" s="9" t="s">
        <v>273</v>
      </c>
      <c r="D94" s="9" t="s">
        <v>274</v>
      </c>
      <c r="E94" s="9" t="s">
        <v>40</v>
      </c>
      <c r="F94" s="9" t="s">
        <v>41</v>
      </c>
      <c r="G94" s="9" t="s">
        <v>42</v>
      </c>
      <c r="H94" s="9" t="s">
        <v>54</v>
      </c>
      <c r="I94" s="10">
        <v>1</v>
      </c>
      <c r="J94" s="9" t="s">
        <v>44</v>
      </c>
      <c r="K94" s="9" t="s">
        <v>275</v>
      </c>
      <c r="L94" s="10">
        <v>-38.003530400000002</v>
      </c>
      <c r="M94" s="10">
        <v>175.9578526</v>
      </c>
      <c r="N94" s="10">
        <v>1902</v>
      </c>
      <c r="O94" s="9" t="s">
        <v>46</v>
      </c>
      <c r="P94" s="10">
        <v>1969</v>
      </c>
      <c r="Q94" s="9" t="s">
        <v>46</v>
      </c>
      <c r="R94" s="9" t="s">
        <v>47</v>
      </c>
      <c r="S94" s="9" t="s">
        <v>276</v>
      </c>
      <c r="T94" s="11"/>
      <c r="U94" s="9" t="s">
        <v>45</v>
      </c>
      <c r="V94" s="10">
        <v>-41.286499999999997</v>
      </c>
      <c r="W94" s="10">
        <v>174.77619999999999</v>
      </c>
      <c r="X94" s="10">
        <v>1860</v>
      </c>
      <c r="Y94" s="9" t="s">
        <v>46</v>
      </c>
      <c r="Z94" s="10">
        <v>1860</v>
      </c>
      <c r="AA94" s="9" t="s">
        <v>46</v>
      </c>
      <c r="AB94" s="9" t="s">
        <v>55</v>
      </c>
      <c r="AC94" s="9" t="s">
        <v>56</v>
      </c>
      <c r="AD94" s="11"/>
      <c r="AE94" s="10">
        <v>48</v>
      </c>
      <c r="AF94" s="10">
        <v>-19</v>
      </c>
      <c r="AG94" s="16">
        <v>90</v>
      </c>
      <c r="AH94" s="16">
        <v>90</v>
      </c>
      <c r="AI94" s="16">
        <v>42</v>
      </c>
      <c r="AJ94" s="16">
        <v>109</v>
      </c>
      <c r="AK94" s="16">
        <v>75.5</v>
      </c>
      <c r="AL94" s="16">
        <v>-67</v>
      </c>
      <c r="AM94" s="9" t="s">
        <v>57</v>
      </c>
    </row>
    <row r="95" spans="1:39" ht="20" customHeight="1" x14ac:dyDescent="0.15">
      <c r="A95" s="7">
        <v>94997902</v>
      </c>
      <c r="B95" s="8">
        <v>22728820</v>
      </c>
      <c r="C95" s="9" t="s">
        <v>273</v>
      </c>
      <c r="D95" s="9" t="s">
        <v>274</v>
      </c>
      <c r="E95" s="9" t="s">
        <v>40</v>
      </c>
      <c r="F95" s="9" t="s">
        <v>41</v>
      </c>
      <c r="G95" s="9" t="s">
        <v>42</v>
      </c>
      <c r="H95" s="9" t="s">
        <v>58</v>
      </c>
      <c r="I95" s="10">
        <v>1</v>
      </c>
      <c r="J95" s="9" t="s">
        <v>44</v>
      </c>
      <c r="K95" s="9" t="s">
        <v>275</v>
      </c>
      <c r="L95" s="10">
        <v>-38.003530400000002</v>
      </c>
      <c r="M95" s="10">
        <v>175.9578526</v>
      </c>
      <c r="N95" s="10">
        <v>1902</v>
      </c>
      <c r="O95" s="9" t="s">
        <v>46</v>
      </c>
      <c r="P95" s="10">
        <v>1969</v>
      </c>
      <c r="Q95" s="9" t="s">
        <v>46</v>
      </c>
      <c r="R95" s="9" t="s">
        <v>47</v>
      </c>
      <c r="S95" s="9" t="s">
        <v>276</v>
      </c>
      <c r="T95" s="11"/>
      <c r="U95" s="9" t="s">
        <v>45</v>
      </c>
      <c r="V95" s="10">
        <v>-41.286499999999997</v>
      </c>
      <c r="W95" s="10">
        <v>174.77619999999999</v>
      </c>
      <c r="X95" s="10">
        <v>1790</v>
      </c>
      <c r="Y95" s="9" t="s">
        <v>46</v>
      </c>
      <c r="Z95" s="10">
        <v>1790</v>
      </c>
      <c r="AA95" s="9" t="s">
        <v>46</v>
      </c>
      <c r="AB95" s="9" t="s">
        <v>55</v>
      </c>
      <c r="AC95" s="9" t="s">
        <v>56</v>
      </c>
      <c r="AD95" s="11"/>
      <c r="AE95" s="10">
        <v>48</v>
      </c>
      <c r="AF95" s="10">
        <v>-19</v>
      </c>
      <c r="AG95" s="16">
        <v>160</v>
      </c>
      <c r="AH95" s="16">
        <v>160</v>
      </c>
      <c r="AI95" s="16">
        <v>112</v>
      </c>
      <c r="AJ95" s="16">
        <v>179</v>
      </c>
      <c r="AK95" s="16">
        <v>145.5</v>
      </c>
      <c r="AL95" s="16">
        <v>-67</v>
      </c>
      <c r="AM95" s="9" t="s">
        <v>103</v>
      </c>
    </row>
    <row r="96" spans="1:39" ht="20" customHeight="1" x14ac:dyDescent="0.15">
      <c r="A96" s="7">
        <v>94997902</v>
      </c>
      <c r="B96" s="8">
        <v>22728820</v>
      </c>
      <c r="C96" s="9" t="s">
        <v>273</v>
      </c>
      <c r="D96" s="9" t="s">
        <v>274</v>
      </c>
      <c r="E96" s="9" t="s">
        <v>40</v>
      </c>
      <c r="F96" s="9" t="s">
        <v>41</v>
      </c>
      <c r="G96" s="9" t="s">
        <v>42</v>
      </c>
      <c r="H96" s="9" t="s">
        <v>59</v>
      </c>
      <c r="I96" s="10">
        <v>0</v>
      </c>
      <c r="J96" s="9" t="s">
        <v>44</v>
      </c>
      <c r="K96" s="9" t="s">
        <v>275</v>
      </c>
      <c r="L96" s="10">
        <v>-38.003530400000002</v>
      </c>
      <c r="M96" s="10">
        <v>175.9578526</v>
      </c>
      <c r="N96" s="10">
        <v>1902</v>
      </c>
      <c r="O96" s="9" t="s">
        <v>46</v>
      </c>
      <c r="P96" s="10">
        <v>1969</v>
      </c>
      <c r="Q96" s="9" t="s">
        <v>46</v>
      </c>
      <c r="R96" s="9" t="s">
        <v>47</v>
      </c>
      <c r="S96" s="9" t="s">
        <v>276</v>
      </c>
      <c r="T96" s="11"/>
      <c r="U96" s="9" t="s">
        <v>45</v>
      </c>
      <c r="V96" s="10">
        <v>-41.286499999999997</v>
      </c>
      <c r="W96" s="10">
        <v>174.77619999999999</v>
      </c>
      <c r="X96" s="10">
        <v>1824</v>
      </c>
      <c r="Y96" s="9" t="s">
        <v>46</v>
      </c>
      <c r="Z96" s="10">
        <v>1824</v>
      </c>
      <c r="AA96" s="9" t="s">
        <v>46</v>
      </c>
      <c r="AB96" s="9" t="s">
        <v>55</v>
      </c>
      <c r="AC96" s="9" t="s">
        <v>56</v>
      </c>
      <c r="AD96" s="11"/>
      <c r="AE96" s="10">
        <v>48</v>
      </c>
      <c r="AF96" s="10">
        <v>-19</v>
      </c>
      <c r="AG96" s="16">
        <v>126</v>
      </c>
      <c r="AH96" s="16">
        <v>126</v>
      </c>
      <c r="AI96" s="16">
        <v>78</v>
      </c>
      <c r="AJ96" s="16">
        <v>145</v>
      </c>
      <c r="AK96" s="16">
        <v>111.5</v>
      </c>
      <c r="AL96" s="16">
        <v>-67</v>
      </c>
      <c r="AM96" s="9" t="s">
        <v>57</v>
      </c>
    </row>
    <row r="97" spans="1:39" ht="20" customHeight="1" x14ac:dyDescent="0.15">
      <c r="A97" s="7">
        <v>94999473</v>
      </c>
      <c r="B97" s="8">
        <v>22728873</v>
      </c>
      <c r="C97" s="9" t="s">
        <v>277</v>
      </c>
      <c r="D97" s="9" t="s">
        <v>278</v>
      </c>
      <c r="E97" s="9" t="s">
        <v>279</v>
      </c>
      <c r="F97" s="9" t="s">
        <v>41</v>
      </c>
      <c r="G97" s="9" t="s">
        <v>42</v>
      </c>
      <c r="H97" s="9" t="s">
        <v>43</v>
      </c>
      <c r="I97" s="10">
        <v>1</v>
      </c>
      <c r="J97" s="9" t="s">
        <v>44</v>
      </c>
      <c r="K97" s="9" t="s">
        <v>134</v>
      </c>
      <c r="L97" s="10">
        <v>-44.288153999999999</v>
      </c>
      <c r="M97" s="10">
        <v>-176.22134299999999</v>
      </c>
      <c r="N97" s="10">
        <v>1895</v>
      </c>
      <c r="O97" s="9" t="s">
        <v>46</v>
      </c>
      <c r="P97" s="10">
        <v>1900</v>
      </c>
      <c r="Q97" s="9" t="s">
        <v>46</v>
      </c>
      <c r="R97" s="9" t="s">
        <v>47</v>
      </c>
      <c r="S97" s="9" t="s">
        <v>280</v>
      </c>
      <c r="T97" s="11"/>
      <c r="U97" s="13" t="s">
        <v>528</v>
      </c>
      <c r="V97" s="10">
        <v>-44.288153999999999</v>
      </c>
      <c r="W97" s="10">
        <v>-176.22134299999999</v>
      </c>
      <c r="X97" s="10">
        <v>650</v>
      </c>
      <c r="Y97" s="9" t="s">
        <v>72</v>
      </c>
      <c r="Z97" s="10">
        <v>650</v>
      </c>
      <c r="AA97" s="9" t="s">
        <v>72</v>
      </c>
      <c r="AB97" s="9" t="s">
        <v>136</v>
      </c>
      <c r="AC97" s="9" t="s">
        <v>137</v>
      </c>
      <c r="AD97" s="11"/>
      <c r="AE97" s="10">
        <v>55</v>
      </c>
      <c r="AF97" s="10">
        <v>50</v>
      </c>
      <c r="AG97" s="16">
        <v>650</v>
      </c>
      <c r="AH97" s="16">
        <v>650</v>
      </c>
      <c r="AI97" s="16">
        <v>595</v>
      </c>
      <c r="AJ97" s="16">
        <v>600</v>
      </c>
      <c r="AK97" s="16">
        <v>597.5</v>
      </c>
      <c r="AL97" s="16">
        <v>-5</v>
      </c>
      <c r="AM97" s="9" t="s">
        <v>53</v>
      </c>
    </row>
    <row r="98" spans="1:39" ht="20" customHeight="1" x14ac:dyDescent="0.15">
      <c r="A98" s="7">
        <v>94999473</v>
      </c>
      <c r="B98" s="8">
        <v>22728873</v>
      </c>
      <c r="C98" s="9" t="s">
        <v>277</v>
      </c>
      <c r="D98" s="9" t="s">
        <v>278</v>
      </c>
      <c r="E98" s="9" t="s">
        <v>279</v>
      </c>
      <c r="F98" s="9" t="s">
        <v>41</v>
      </c>
      <c r="G98" s="9" t="s">
        <v>42</v>
      </c>
      <c r="H98" s="9" t="s">
        <v>54</v>
      </c>
      <c r="I98" s="10">
        <v>1</v>
      </c>
      <c r="J98" s="9" t="s">
        <v>44</v>
      </c>
      <c r="K98" s="9" t="s">
        <v>134</v>
      </c>
      <c r="L98" s="10">
        <v>-44.288153999999999</v>
      </c>
      <c r="M98" s="10">
        <v>-176.22134299999999</v>
      </c>
      <c r="N98" s="10">
        <v>1895</v>
      </c>
      <c r="O98" s="9" t="s">
        <v>46</v>
      </c>
      <c r="P98" s="10">
        <v>1900</v>
      </c>
      <c r="Q98" s="9" t="s">
        <v>46</v>
      </c>
      <c r="R98" s="9" t="s">
        <v>47</v>
      </c>
      <c r="S98" s="9" t="s">
        <v>280</v>
      </c>
      <c r="T98" s="11"/>
      <c r="U98" s="13" t="s">
        <v>528</v>
      </c>
      <c r="V98" s="10">
        <v>-44.288153999999999</v>
      </c>
      <c r="W98" s="10">
        <v>-176.22134299999999</v>
      </c>
      <c r="X98" s="10">
        <v>1845</v>
      </c>
      <c r="Y98" s="9" t="s">
        <v>46</v>
      </c>
      <c r="Z98" s="10">
        <v>1869</v>
      </c>
      <c r="AA98" s="9" t="s">
        <v>46</v>
      </c>
      <c r="AB98" s="14" t="s">
        <v>529</v>
      </c>
      <c r="AC98" s="9" t="s">
        <v>138</v>
      </c>
      <c r="AD98" s="11"/>
      <c r="AE98" s="10">
        <v>55</v>
      </c>
      <c r="AF98" s="10">
        <v>50</v>
      </c>
      <c r="AG98" s="16">
        <v>105</v>
      </c>
      <c r="AH98" s="16">
        <v>81</v>
      </c>
      <c r="AI98" s="16">
        <v>26</v>
      </c>
      <c r="AJ98" s="16">
        <v>55</v>
      </c>
      <c r="AK98" s="16">
        <v>40.5</v>
      </c>
      <c r="AL98" s="16">
        <v>-29</v>
      </c>
      <c r="AM98" s="9" t="s">
        <v>57</v>
      </c>
    </row>
    <row r="99" spans="1:39" ht="20" customHeight="1" x14ac:dyDescent="0.15">
      <c r="A99" s="7">
        <v>94999473</v>
      </c>
      <c r="B99" s="8">
        <v>22728873</v>
      </c>
      <c r="C99" s="9" t="s">
        <v>277</v>
      </c>
      <c r="D99" s="9" t="s">
        <v>278</v>
      </c>
      <c r="E99" s="9" t="s">
        <v>279</v>
      </c>
      <c r="F99" s="9" t="s">
        <v>41</v>
      </c>
      <c r="G99" s="9" t="s">
        <v>42</v>
      </c>
      <c r="H99" s="9" t="s">
        <v>58</v>
      </c>
      <c r="I99" s="10">
        <v>1</v>
      </c>
      <c r="J99" s="9" t="s">
        <v>44</v>
      </c>
      <c r="K99" s="9" t="s">
        <v>134</v>
      </c>
      <c r="L99" s="10">
        <v>-44.288153999999999</v>
      </c>
      <c r="M99" s="10">
        <v>-176.22134299999999</v>
      </c>
      <c r="N99" s="10">
        <v>1895</v>
      </c>
      <c r="O99" s="9" t="s">
        <v>46</v>
      </c>
      <c r="P99" s="10">
        <v>1900</v>
      </c>
      <c r="Q99" s="9" t="s">
        <v>46</v>
      </c>
      <c r="R99" s="9" t="s">
        <v>47</v>
      </c>
      <c r="S99" s="9" t="s">
        <v>280</v>
      </c>
      <c r="T99" s="11"/>
      <c r="U99" s="13" t="s">
        <v>528</v>
      </c>
      <c r="V99" s="10">
        <v>-44.288153999999999</v>
      </c>
      <c r="W99" s="10">
        <v>-176.22134299999999</v>
      </c>
      <c r="X99" s="10">
        <v>1952</v>
      </c>
      <c r="Y99" s="9" t="s">
        <v>46</v>
      </c>
      <c r="Z99" s="10">
        <v>1977</v>
      </c>
      <c r="AA99" s="9" t="s">
        <v>46</v>
      </c>
      <c r="AB99" s="14" t="s">
        <v>529</v>
      </c>
      <c r="AC99" s="9" t="s">
        <v>139</v>
      </c>
      <c r="AD99" s="11"/>
      <c r="AE99" s="10">
        <v>55</v>
      </c>
      <c r="AF99" s="10">
        <v>50</v>
      </c>
      <c r="AG99" s="16">
        <v>-2</v>
      </c>
      <c r="AH99" s="16">
        <v>-27</v>
      </c>
      <c r="AI99" s="16">
        <v>-82</v>
      </c>
      <c r="AJ99" s="16">
        <v>-52</v>
      </c>
      <c r="AK99" s="16">
        <v>-67</v>
      </c>
      <c r="AL99" s="16">
        <v>-30</v>
      </c>
      <c r="AM99" s="9" t="s">
        <v>86</v>
      </c>
    </row>
    <row r="100" spans="1:39" ht="20" customHeight="1" x14ac:dyDescent="0.15">
      <c r="A100" s="7">
        <v>95051671</v>
      </c>
      <c r="B100" s="8">
        <v>22732926</v>
      </c>
      <c r="C100" s="13" t="s">
        <v>281</v>
      </c>
      <c r="D100" s="9" t="s">
        <v>282</v>
      </c>
      <c r="E100" s="9" t="s">
        <v>40</v>
      </c>
      <c r="F100" s="9" t="s">
        <v>41</v>
      </c>
      <c r="G100" s="9" t="s">
        <v>283</v>
      </c>
      <c r="H100" s="9" t="s">
        <v>43</v>
      </c>
      <c r="I100" s="10">
        <v>1</v>
      </c>
      <c r="J100" s="9" t="s">
        <v>44</v>
      </c>
      <c r="K100" s="9" t="s">
        <v>284</v>
      </c>
      <c r="L100" s="10">
        <v>-8.0010077000000006</v>
      </c>
      <c r="M100" s="10">
        <v>-140.7014973</v>
      </c>
      <c r="N100" s="10">
        <v>1977</v>
      </c>
      <c r="O100" s="9" t="s">
        <v>46</v>
      </c>
      <c r="P100" s="10">
        <v>1986</v>
      </c>
      <c r="Q100" s="9" t="s">
        <v>46</v>
      </c>
      <c r="R100" s="9" t="s">
        <v>47</v>
      </c>
      <c r="S100" s="9" t="s">
        <v>285</v>
      </c>
      <c r="T100" s="11"/>
      <c r="U100" s="9" t="s">
        <v>284</v>
      </c>
      <c r="V100" s="10">
        <v>-8.0010077000000006</v>
      </c>
      <c r="W100" s="10">
        <v>-140.7014973</v>
      </c>
      <c r="X100" s="10">
        <v>1000</v>
      </c>
      <c r="Y100" s="9" t="s">
        <v>72</v>
      </c>
      <c r="Z100" s="10">
        <v>1000</v>
      </c>
      <c r="AA100" s="9" t="s">
        <v>72</v>
      </c>
      <c r="AB100" s="9" t="s">
        <v>286</v>
      </c>
      <c r="AC100" s="9" t="s">
        <v>287</v>
      </c>
      <c r="AD100" s="11"/>
      <c r="AE100" s="10">
        <v>-27</v>
      </c>
      <c r="AF100" s="10">
        <v>-36</v>
      </c>
      <c r="AG100" s="16">
        <v>1000</v>
      </c>
      <c r="AH100" s="16">
        <v>1000</v>
      </c>
      <c r="AI100" s="16">
        <v>1027</v>
      </c>
      <c r="AJ100" s="16">
        <v>1036</v>
      </c>
      <c r="AK100" s="16">
        <v>1031.5</v>
      </c>
      <c r="AL100" s="16">
        <v>-9</v>
      </c>
      <c r="AM100" s="9" t="s">
        <v>99</v>
      </c>
    </row>
    <row r="101" spans="1:39" ht="20" customHeight="1" x14ac:dyDescent="0.15">
      <c r="A101" s="7">
        <v>95051671</v>
      </c>
      <c r="B101" s="8">
        <v>22732926</v>
      </c>
      <c r="C101" s="9" t="s">
        <v>281</v>
      </c>
      <c r="D101" s="9" t="s">
        <v>282</v>
      </c>
      <c r="E101" s="9" t="s">
        <v>40</v>
      </c>
      <c r="F101" s="9" t="s">
        <v>41</v>
      </c>
      <c r="G101" s="9" t="s">
        <v>283</v>
      </c>
      <c r="H101" s="9" t="s">
        <v>54</v>
      </c>
      <c r="I101" s="10">
        <v>1</v>
      </c>
      <c r="J101" s="9" t="s">
        <v>44</v>
      </c>
      <c r="K101" s="9" t="s">
        <v>284</v>
      </c>
      <c r="L101" s="10">
        <v>-8.0010077000000006</v>
      </c>
      <c r="M101" s="10">
        <v>-140.7014973</v>
      </c>
      <c r="N101" s="10">
        <v>1977</v>
      </c>
      <c r="O101" s="9" t="s">
        <v>46</v>
      </c>
      <c r="P101" s="10">
        <v>1986</v>
      </c>
      <c r="Q101" s="9" t="s">
        <v>46</v>
      </c>
      <c r="R101" s="9" t="s">
        <v>47</v>
      </c>
      <c r="S101" s="9" t="s">
        <v>288</v>
      </c>
      <c r="T101" s="11"/>
      <c r="U101" s="9" t="s">
        <v>284</v>
      </c>
      <c r="V101" s="10">
        <v>-8.0010077000000006</v>
      </c>
      <c r="W101" s="10">
        <v>-140.7014973</v>
      </c>
      <c r="X101" s="10">
        <v>1901</v>
      </c>
      <c r="Y101" s="9" t="s">
        <v>46</v>
      </c>
      <c r="Z101" s="10">
        <v>2000</v>
      </c>
      <c r="AA101" s="9" t="s">
        <v>46</v>
      </c>
      <c r="AB101" s="13" t="s">
        <v>539</v>
      </c>
      <c r="AC101" s="13" t="s">
        <v>538</v>
      </c>
      <c r="AD101" s="11"/>
      <c r="AE101" s="10">
        <v>-27</v>
      </c>
      <c r="AF101" s="10">
        <v>-36</v>
      </c>
      <c r="AG101" s="16">
        <v>49</v>
      </c>
      <c r="AH101" s="16">
        <v>-50</v>
      </c>
      <c r="AI101" s="16">
        <v>-23</v>
      </c>
      <c r="AJ101" s="16">
        <v>85</v>
      </c>
      <c r="AK101" s="16">
        <v>31</v>
      </c>
      <c r="AL101" s="16">
        <v>-108</v>
      </c>
      <c r="AM101" s="9" t="s">
        <v>128</v>
      </c>
    </row>
    <row r="102" spans="1:39" ht="20" customHeight="1" x14ac:dyDescent="0.15">
      <c r="A102" s="7">
        <v>95052074</v>
      </c>
      <c r="B102" s="8">
        <v>22732936</v>
      </c>
      <c r="C102" s="9" t="s">
        <v>289</v>
      </c>
      <c r="D102" s="9" t="s">
        <v>290</v>
      </c>
      <c r="E102" s="9" t="s">
        <v>40</v>
      </c>
      <c r="F102" s="9" t="s">
        <v>41</v>
      </c>
      <c r="G102" s="9" t="s">
        <v>54</v>
      </c>
      <c r="H102" s="9" t="s">
        <v>43</v>
      </c>
      <c r="I102" s="10">
        <v>0</v>
      </c>
      <c r="J102" s="9" t="s">
        <v>44</v>
      </c>
      <c r="K102" s="9" t="s">
        <v>291</v>
      </c>
      <c r="L102" s="10">
        <v>-8.8733103999999994</v>
      </c>
      <c r="M102" s="10">
        <v>-140.12456349999999</v>
      </c>
      <c r="N102" s="10">
        <v>1930</v>
      </c>
      <c r="O102" s="9" t="s">
        <v>46</v>
      </c>
      <c r="P102" s="10">
        <v>1939</v>
      </c>
      <c r="Q102" s="9" t="s">
        <v>46</v>
      </c>
      <c r="R102" s="9" t="s">
        <v>47</v>
      </c>
      <c r="S102" s="9" t="s">
        <v>292</v>
      </c>
      <c r="T102" s="11"/>
      <c r="U102" s="9" t="s">
        <v>108</v>
      </c>
      <c r="V102" s="10">
        <v>-9.7793255000000006</v>
      </c>
      <c r="W102" s="10">
        <v>-139.00678350000001</v>
      </c>
      <c r="X102" s="10">
        <v>2000</v>
      </c>
      <c r="Y102" s="9" t="s">
        <v>72</v>
      </c>
      <c r="Z102" s="10">
        <v>2000</v>
      </c>
      <c r="AA102" s="9" t="s">
        <v>72</v>
      </c>
      <c r="AB102" s="9" t="s">
        <v>109</v>
      </c>
      <c r="AC102" s="9" t="s">
        <v>110</v>
      </c>
      <c r="AD102" s="9" t="s">
        <v>293</v>
      </c>
      <c r="AE102" s="10">
        <v>20</v>
      </c>
      <c r="AF102" s="10">
        <v>11</v>
      </c>
      <c r="AG102" s="16">
        <v>2000</v>
      </c>
      <c r="AH102" s="16">
        <v>2000</v>
      </c>
      <c r="AI102" s="16">
        <v>1980</v>
      </c>
      <c r="AJ102" s="16">
        <v>1989</v>
      </c>
      <c r="AK102" s="16">
        <v>1984.5</v>
      </c>
      <c r="AL102" s="16">
        <v>-9</v>
      </c>
      <c r="AM102" s="9" t="s">
        <v>99</v>
      </c>
    </row>
    <row r="103" spans="1:39" ht="20" customHeight="1" x14ac:dyDescent="0.15">
      <c r="A103" s="7">
        <v>95052074</v>
      </c>
      <c r="B103" s="8">
        <v>22732936</v>
      </c>
      <c r="C103" s="9" t="s">
        <v>289</v>
      </c>
      <c r="D103" s="9" t="s">
        <v>290</v>
      </c>
      <c r="E103" s="9" t="s">
        <v>40</v>
      </c>
      <c r="F103" s="9" t="s">
        <v>41</v>
      </c>
      <c r="G103" s="9" t="s">
        <v>54</v>
      </c>
      <c r="H103" s="9" t="s">
        <v>54</v>
      </c>
      <c r="I103" s="10">
        <v>1</v>
      </c>
      <c r="J103" s="9" t="s">
        <v>44</v>
      </c>
      <c r="K103" s="9" t="s">
        <v>291</v>
      </c>
      <c r="L103" s="10">
        <v>-8.8733103999999994</v>
      </c>
      <c r="M103" s="10">
        <v>-140.12456349999999</v>
      </c>
      <c r="N103" s="10">
        <v>1930</v>
      </c>
      <c r="O103" s="9" t="s">
        <v>46</v>
      </c>
      <c r="P103" s="10">
        <v>1939</v>
      </c>
      <c r="Q103" s="9" t="s">
        <v>46</v>
      </c>
      <c r="R103" s="9" t="s">
        <v>47</v>
      </c>
      <c r="S103" s="9" t="s">
        <v>292</v>
      </c>
      <c r="T103" s="11"/>
      <c r="U103" s="9" t="s">
        <v>291</v>
      </c>
      <c r="V103" s="10">
        <v>-8.8733103999999994</v>
      </c>
      <c r="W103" s="10">
        <v>-140.12456349999999</v>
      </c>
      <c r="X103" s="10">
        <v>1915</v>
      </c>
      <c r="Y103" s="9" t="s">
        <v>46</v>
      </c>
      <c r="Z103" s="16">
        <v>1929</v>
      </c>
      <c r="AA103" s="9" t="s">
        <v>46</v>
      </c>
      <c r="AB103" s="13" t="s">
        <v>530</v>
      </c>
      <c r="AC103" s="15" t="s">
        <v>531</v>
      </c>
      <c r="AD103" s="11"/>
      <c r="AE103" s="10">
        <v>20</v>
      </c>
      <c r="AF103" s="10">
        <v>11</v>
      </c>
      <c r="AG103" s="16">
        <v>35</v>
      </c>
      <c r="AH103" s="16">
        <v>21</v>
      </c>
      <c r="AI103" s="16">
        <v>1</v>
      </c>
      <c r="AJ103" s="16">
        <v>24</v>
      </c>
      <c r="AK103" s="16">
        <v>12.5</v>
      </c>
      <c r="AL103" s="16">
        <v>-23</v>
      </c>
      <c r="AM103" s="9" t="s">
        <v>57</v>
      </c>
    </row>
    <row r="104" spans="1:39" ht="20" customHeight="1" x14ac:dyDescent="0.15">
      <c r="A104" s="7">
        <v>95052074</v>
      </c>
      <c r="B104" s="8">
        <v>22732936</v>
      </c>
      <c r="C104" s="9" t="s">
        <v>289</v>
      </c>
      <c r="D104" s="9" t="s">
        <v>290</v>
      </c>
      <c r="E104" s="9" t="s">
        <v>40</v>
      </c>
      <c r="F104" s="9" t="s">
        <v>41</v>
      </c>
      <c r="G104" s="9" t="s">
        <v>54</v>
      </c>
      <c r="H104" s="9" t="s">
        <v>58</v>
      </c>
      <c r="I104" s="10">
        <v>0</v>
      </c>
      <c r="J104" s="9" t="s">
        <v>44</v>
      </c>
      <c r="K104" s="9" t="s">
        <v>291</v>
      </c>
      <c r="L104" s="10">
        <v>-8.8733103999999994</v>
      </c>
      <c r="M104" s="10">
        <v>-140.12456349999999</v>
      </c>
      <c r="N104" s="10">
        <v>1930</v>
      </c>
      <c r="O104" s="9" t="s">
        <v>46</v>
      </c>
      <c r="P104" s="10">
        <v>1939</v>
      </c>
      <c r="Q104" s="9" t="s">
        <v>46</v>
      </c>
      <c r="R104" s="9" t="s">
        <v>47</v>
      </c>
      <c r="S104" s="9" t="s">
        <v>292</v>
      </c>
      <c r="T104" s="11"/>
      <c r="U104" s="9" t="s">
        <v>108</v>
      </c>
      <c r="V104" s="10">
        <v>-9.7793255000000006</v>
      </c>
      <c r="W104" s="10">
        <v>-139.00678350000001</v>
      </c>
      <c r="X104" s="10">
        <v>1595</v>
      </c>
      <c r="Y104" s="9" t="s">
        <v>46</v>
      </c>
      <c r="Z104" s="10">
        <v>1800</v>
      </c>
      <c r="AA104" s="9" t="s">
        <v>46</v>
      </c>
      <c r="AB104" s="9" t="s">
        <v>115</v>
      </c>
      <c r="AC104" s="9" t="s">
        <v>113</v>
      </c>
      <c r="AD104" s="9" t="s">
        <v>114</v>
      </c>
      <c r="AE104" s="10">
        <v>20</v>
      </c>
      <c r="AF104" s="10">
        <v>11</v>
      </c>
      <c r="AG104" s="16">
        <v>355</v>
      </c>
      <c r="AH104" s="16">
        <v>150</v>
      </c>
      <c r="AI104" s="16">
        <v>130</v>
      </c>
      <c r="AJ104" s="16">
        <v>344</v>
      </c>
      <c r="AK104" s="16">
        <v>237</v>
      </c>
      <c r="AL104" s="16">
        <v>-214</v>
      </c>
      <c r="AM104" s="9" t="s">
        <v>103</v>
      </c>
    </row>
    <row r="105" spans="1:39" ht="20" customHeight="1" x14ac:dyDescent="0.15">
      <c r="A105" s="7">
        <v>95052074</v>
      </c>
      <c r="B105" s="8">
        <v>22732936</v>
      </c>
      <c r="C105" s="9" t="s">
        <v>289</v>
      </c>
      <c r="D105" s="9" t="s">
        <v>290</v>
      </c>
      <c r="E105" s="9" t="s">
        <v>40</v>
      </c>
      <c r="F105" s="9" t="s">
        <v>41</v>
      </c>
      <c r="G105" s="9" t="s">
        <v>54</v>
      </c>
      <c r="H105" s="9" t="s">
        <v>59</v>
      </c>
      <c r="I105" s="10">
        <v>0</v>
      </c>
      <c r="J105" s="9" t="s">
        <v>44</v>
      </c>
      <c r="K105" s="9" t="s">
        <v>291</v>
      </c>
      <c r="L105" s="10">
        <v>-8.8733103999999994</v>
      </c>
      <c r="M105" s="10">
        <v>-140.12456349999999</v>
      </c>
      <c r="N105" s="10">
        <v>1930</v>
      </c>
      <c r="O105" s="9" t="s">
        <v>46</v>
      </c>
      <c r="P105" s="10">
        <v>1939</v>
      </c>
      <c r="Q105" s="9" t="s">
        <v>46</v>
      </c>
      <c r="R105" s="9" t="s">
        <v>47</v>
      </c>
      <c r="S105" s="9" t="s">
        <v>292</v>
      </c>
      <c r="T105" s="11"/>
      <c r="U105" s="9" t="s">
        <v>108</v>
      </c>
      <c r="V105" s="10">
        <v>-9.7793255000000006</v>
      </c>
      <c r="W105" s="10">
        <v>-139.00678350000001</v>
      </c>
      <c r="X105" s="10">
        <v>1595</v>
      </c>
      <c r="Y105" s="9" t="s">
        <v>46</v>
      </c>
      <c r="Z105" s="10">
        <v>1800</v>
      </c>
      <c r="AA105" s="9" t="s">
        <v>46</v>
      </c>
      <c r="AB105" s="9" t="s">
        <v>116</v>
      </c>
      <c r="AC105" s="9" t="s">
        <v>113</v>
      </c>
      <c r="AD105" s="11"/>
      <c r="AE105" s="10">
        <v>20</v>
      </c>
      <c r="AF105" s="10">
        <v>11</v>
      </c>
      <c r="AG105" s="16">
        <v>355</v>
      </c>
      <c r="AH105" s="16">
        <v>150</v>
      </c>
      <c r="AI105" s="16">
        <v>130</v>
      </c>
      <c r="AJ105" s="16">
        <v>344</v>
      </c>
      <c r="AK105" s="16">
        <v>237</v>
      </c>
      <c r="AL105" s="16">
        <v>-214</v>
      </c>
      <c r="AM105" s="9" t="s">
        <v>103</v>
      </c>
    </row>
    <row r="106" spans="1:39" ht="20" customHeight="1" x14ac:dyDescent="0.15">
      <c r="A106" s="7">
        <v>95191768</v>
      </c>
      <c r="B106" s="8">
        <v>62178398</v>
      </c>
      <c r="C106" s="9" t="s">
        <v>295</v>
      </c>
      <c r="D106" s="9" t="s">
        <v>296</v>
      </c>
      <c r="E106" s="9" t="s">
        <v>40</v>
      </c>
      <c r="F106" s="9" t="s">
        <v>41</v>
      </c>
      <c r="G106" s="9" t="s">
        <v>43</v>
      </c>
      <c r="H106" s="9" t="s">
        <v>43</v>
      </c>
      <c r="I106" s="10">
        <v>1</v>
      </c>
      <c r="J106" s="9" t="s">
        <v>44</v>
      </c>
      <c r="K106" s="9" t="s">
        <v>275</v>
      </c>
      <c r="L106" s="10">
        <v>-38.003530400000002</v>
      </c>
      <c r="M106" s="10">
        <v>175.9578526</v>
      </c>
      <c r="N106" s="10">
        <v>1870</v>
      </c>
      <c r="O106" s="9" t="s">
        <v>46</v>
      </c>
      <c r="P106" s="10">
        <v>1870</v>
      </c>
      <c r="Q106" s="9" t="s">
        <v>46</v>
      </c>
      <c r="R106" s="9" t="s">
        <v>47</v>
      </c>
      <c r="S106" s="9" t="s">
        <v>297</v>
      </c>
      <c r="T106" s="11"/>
      <c r="U106" s="9" t="s">
        <v>275</v>
      </c>
      <c r="V106" s="10">
        <v>-38.003530400000002</v>
      </c>
      <c r="W106" s="10">
        <v>175.9578526</v>
      </c>
      <c r="X106" s="10">
        <v>100</v>
      </c>
      <c r="Y106" s="9" t="s">
        <v>46</v>
      </c>
      <c r="Z106" s="10">
        <v>1200</v>
      </c>
      <c r="AA106" s="9" t="s">
        <v>46</v>
      </c>
      <c r="AB106" s="9" t="s">
        <v>196</v>
      </c>
      <c r="AC106" s="9" t="s">
        <v>197</v>
      </c>
      <c r="AD106" s="9" t="s">
        <v>198</v>
      </c>
      <c r="AE106" s="10">
        <v>80</v>
      </c>
      <c r="AF106" s="10">
        <v>80</v>
      </c>
      <c r="AG106" s="16">
        <v>1850</v>
      </c>
      <c r="AH106" s="16">
        <v>750</v>
      </c>
      <c r="AI106" s="16">
        <v>670</v>
      </c>
      <c r="AJ106" s="16">
        <v>1770</v>
      </c>
      <c r="AK106" s="16">
        <v>1220</v>
      </c>
      <c r="AL106" s="16">
        <v>-1100</v>
      </c>
      <c r="AM106" s="9" t="s">
        <v>53</v>
      </c>
    </row>
    <row r="107" spans="1:39" ht="20" customHeight="1" x14ac:dyDescent="0.15">
      <c r="A107" s="7">
        <v>95191768</v>
      </c>
      <c r="B107" s="8">
        <v>62178398</v>
      </c>
      <c r="C107" s="9" t="s">
        <v>295</v>
      </c>
      <c r="D107" s="9" t="s">
        <v>296</v>
      </c>
      <c r="E107" s="9" t="s">
        <v>40</v>
      </c>
      <c r="F107" s="9" t="s">
        <v>41</v>
      </c>
      <c r="G107" s="9" t="s">
        <v>43</v>
      </c>
      <c r="H107" s="9" t="s">
        <v>54</v>
      </c>
      <c r="I107" s="10">
        <v>0</v>
      </c>
      <c r="J107" s="9" t="s">
        <v>44</v>
      </c>
      <c r="K107" s="9" t="s">
        <v>275</v>
      </c>
      <c r="L107" s="10">
        <v>-38.003530400000002</v>
      </c>
      <c r="M107" s="10">
        <v>175.9578526</v>
      </c>
      <c r="N107" s="10">
        <v>1870</v>
      </c>
      <c r="O107" s="9" t="s">
        <v>46</v>
      </c>
      <c r="P107" s="10">
        <v>1870</v>
      </c>
      <c r="Q107" s="9" t="s">
        <v>46</v>
      </c>
      <c r="R107" s="9" t="s">
        <v>47</v>
      </c>
      <c r="S107" s="9" t="s">
        <v>297</v>
      </c>
      <c r="T107" s="11"/>
      <c r="U107" s="9" t="s">
        <v>45</v>
      </c>
      <c r="V107" s="10">
        <v>-41.286499999999997</v>
      </c>
      <c r="W107" s="10">
        <v>174.77619999999999</v>
      </c>
      <c r="X107" s="10">
        <v>1860</v>
      </c>
      <c r="Y107" s="9" t="s">
        <v>46</v>
      </c>
      <c r="Z107" s="10">
        <v>1860</v>
      </c>
      <c r="AA107" s="9" t="s">
        <v>46</v>
      </c>
      <c r="AB107" s="9" t="s">
        <v>55</v>
      </c>
      <c r="AC107" s="9" t="s">
        <v>56</v>
      </c>
      <c r="AD107" s="11"/>
      <c r="AE107" s="10">
        <v>80</v>
      </c>
      <c r="AF107" s="10">
        <v>80</v>
      </c>
      <c r="AG107" s="10">
        <v>90</v>
      </c>
      <c r="AH107" s="10">
        <v>90</v>
      </c>
      <c r="AI107" s="10">
        <v>10</v>
      </c>
      <c r="AJ107" s="10">
        <v>10</v>
      </c>
      <c r="AK107" s="10">
        <v>10</v>
      </c>
      <c r="AL107" s="10">
        <v>0</v>
      </c>
      <c r="AM107" s="9" t="s">
        <v>57</v>
      </c>
    </row>
    <row r="108" spans="1:39" ht="20" customHeight="1" x14ac:dyDescent="0.15">
      <c r="A108" s="7">
        <v>95191768</v>
      </c>
      <c r="B108" s="8">
        <v>62178398</v>
      </c>
      <c r="C108" s="9" t="s">
        <v>295</v>
      </c>
      <c r="D108" s="9" t="s">
        <v>296</v>
      </c>
      <c r="E108" s="9" t="s">
        <v>40</v>
      </c>
      <c r="F108" s="9" t="s">
        <v>41</v>
      </c>
      <c r="G108" s="9" t="s">
        <v>43</v>
      </c>
      <c r="H108" s="9" t="s">
        <v>58</v>
      </c>
      <c r="I108" s="10">
        <v>0</v>
      </c>
      <c r="J108" s="9" t="s">
        <v>44</v>
      </c>
      <c r="K108" s="9" t="s">
        <v>275</v>
      </c>
      <c r="L108" s="10">
        <v>-38.003530400000002</v>
      </c>
      <c r="M108" s="10">
        <v>175.9578526</v>
      </c>
      <c r="N108" s="10">
        <v>1870</v>
      </c>
      <c r="O108" s="9" t="s">
        <v>46</v>
      </c>
      <c r="P108" s="10">
        <v>1870</v>
      </c>
      <c r="Q108" s="9" t="s">
        <v>46</v>
      </c>
      <c r="R108" s="9" t="s">
        <v>47</v>
      </c>
      <c r="S108" s="9" t="s">
        <v>297</v>
      </c>
      <c r="T108" s="11"/>
      <c r="U108" s="9" t="s">
        <v>45</v>
      </c>
      <c r="V108" s="10">
        <v>-41.286499999999997</v>
      </c>
      <c r="W108" s="10">
        <v>174.77619999999999</v>
      </c>
      <c r="X108" s="10">
        <v>1790</v>
      </c>
      <c r="Y108" s="9" t="s">
        <v>46</v>
      </c>
      <c r="Z108" s="10">
        <v>1790</v>
      </c>
      <c r="AA108" s="9" t="s">
        <v>46</v>
      </c>
      <c r="AB108" s="9" t="s">
        <v>55</v>
      </c>
      <c r="AC108" s="9" t="s">
        <v>56</v>
      </c>
      <c r="AD108" s="11"/>
      <c r="AE108" s="10">
        <v>80</v>
      </c>
      <c r="AF108" s="10">
        <v>80</v>
      </c>
      <c r="AG108" s="10">
        <v>160</v>
      </c>
      <c r="AH108" s="10">
        <v>160</v>
      </c>
      <c r="AI108" s="10">
        <v>80</v>
      </c>
      <c r="AJ108" s="10">
        <v>80</v>
      </c>
      <c r="AK108" s="10">
        <v>80</v>
      </c>
      <c r="AL108" s="10">
        <v>0</v>
      </c>
      <c r="AM108" s="9" t="s">
        <v>57</v>
      </c>
    </row>
    <row r="109" spans="1:39" ht="20" customHeight="1" x14ac:dyDescent="0.15">
      <c r="A109" s="7">
        <v>95191768</v>
      </c>
      <c r="B109" s="8">
        <v>62178398</v>
      </c>
      <c r="C109" s="9" t="s">
        <v>295</v>
      </c>
      <c r="D109" s="9" t="s">
        <v>296</v>
      </c>
      <c r="E109" s="9" t="s">
        <v>40</v>
      </c>
      <c r="F109" s="9" t="s">
        <v>41</v>
      </c>
      <c r="G109" s="9" t="s">
        <v>43</v>
      </c>
      <c r="H109" s="9" t="s">
        <v>59</v>
      </c>
      <c r="I109" s="10">
        <v>0</v>
      </c>
      <c r="J109" s="9" t="s">
        <v>44</v>
      </c>
      <c r="K109" s="9" t="s">
        <v>275</v>
      </c>
      <c r="L109" s="10">
        <v>-38.003530400000002</v>
      </c>
      <c r="M109" s="10">
        <v>175.9578526</v>
      </c>
      <c r="N109" s="10">
        <v>1870</v>
      </c>
      <c r="O109" s="9" t="s">
        <v>46</v>
      </c>
      <c r="P109" s="10">
        <v>1870</v>
      </c>
      <c r="Q109" s="9" t="s">
        <v>46</v>
      </c>
      <c r="R109" s="9" t="s">
        <v>47</v>
      </c>
      <c r="S109" s="9" t="s">
        <v>297</v>
      </c>
      <c r="T109" s="11"/>
      <c r="U109" s="9" t="s">
        <v>45</v>
      </c>
      <c r="V109" s="10">
        <v>-41.286499999999997</v>
      </c>
      <c r="W109" s="10">
        <v>174.77619999999999</v>
      </c>
      <c r="X109" s="10">
        <v>1824</v>
      </c>
      <c r="Y109" s="9" t="s">
        <v>46</v>
      </c>
      <c r="Z109" s="10">
        <v>1824</v>
      </c>
      <c r="AA109" s="9" t="s">
        <v>46</v>
      </c>
      <c r="AB109" s="9" t="s">
        <v>55</v>
      </c>
      <c r="AC109" s="9" t="s">
        <v>56</v>
      </c>
      <c r="AD109" s="11"/>
      <c r="AE109" s="10">
        <v>80</v>
      </c>
      <c r="AF109" s="10">
        <v>80</v>
      </c>
      <c r="AG109" s="10">
        <v>126</v>
      </c>
      <c r="AH109" s="10">
        <v>126</v>
      </c>
      <c r="AI109" s="10">
        <v>46</v>
      </c>
      <c r="AJ109" s="10">
        <v>46</v>
      </c>
      <c r="AK109" s="10">
        <v>46</v>
      </c>
      <c r="AL109" s="10">
        <v>0</v>
      </c>
      <c r="AM109" s="9" t="s">
        <v>57</v>
      </c>
    </row>
    <row r="110" spans="1:39" ht="20" customHeight="1" x14ac:dyDescent="0.15">
      <c r="A110" s="7">
        <v>111776369</v>
      </c>
      <c r="B110" s="8">
        <v>22720738</v>
      </c>
      <c r="C110" s="9" t="s">
        <v>298</v>
      </c>
      <c r="D110" s="9" t="s">
        <v>299</v>
      </c>
      <c r="E110" s="9" t="s">
        <v>40</v>
      </c>
      <c r="F110" s="9" t="s">
        <v>41</v>
      </c>
      <c r="G110" s="9" t="s">
        <v>42</v>
      </c>
      <c r="H110" s="9" t="s">
        <v>43</v>
      </c>
      <c r="I110" s="10">
        <v>1</v>
      </c>
      <c r="J110" s="9" t="s">
        <v>44</v>
      </c>
      <c r="K110" s="9" t="s">
        <v>300</v>
      </c>
      <c r="L110" s="10">
        <v>20.830544100000001</v>
      </c>
      <c r="M110" s="10">
        <v>-156.90294929999999</v>
      </c>
      <c r="N110" s="10">
        <v>1918</v>
      </c>
      <c r="O110" s="9" t="s">
        <v>46</v>
      </c>
      <c r="P110" s="10">
        <v>1918</v>
      </c>
      <c r="Q110" s="9" t="s">
        <v>46</v>
      </c>
      <c r="R110" s="9" t="s">
        <v>47</v>
      </c>
      <c r="S110" s="9" t="s">
        <v>301</v>
      </c>
      <c r="T110" s="11"/>
      <c r="U110" s="9" t="s">
        <v>155</v>
      </c>
      <c r="V110" s="10">
        <v>19.593801500000001</v>
      </c>
      <c r="W110" s="10">
        <v>-155.4283701</v>
      </c>
      <c r="X110" s="10">
        <v>800</v>
      </c>
      <c r="Y110" s="9" t="s">
        <v>72</v>
      </c>
      <c r="Z110" s="10">
        <v>800</v>
      </c>
      <c r="AA110" s="9" t="s">
        <v>72</v>
      </c>
      <c r="AB110" s="9" t="s">
        <v>157</v>
      </c>
      <c r="AC110" s="9" t="s">
        <v>158</v>
      </c>
      <c r="AD110" s="11"/>
      <c r="AE110" s="10">
        <v>32</v>
      </c>
      <c r="AF110" s="10">
        <v>32</v>
      </c>
      <c r="AG110" s="10">
        <v>800</v>
      </c>
      <c r="AH110" s="10">
        <v>800</v>
      </c>
      <c r="AI110" s="10">
        <v>768</v>
      </c>
      <c r="AJ110" s="10">
        <v>768</v>
      </c>
      <c r="AK110" s="10">
        <v>768</v>
      </c>
      <c r="AL110" s="10">
        <v>0</v>
      </c>
      <c r="AM110" s="9" t="s">
        <v>53</v>
      </c>
    </row>
    <row r="111" spans="1:39" ht="20" customHeight="1" x14ac:dyDescent="0.15">
      <c r="A111" s="7">
        <v>111776369</v>
      </c>
      <c r="B111" s="8">
        <v>22720738</v>
      </c>
      <c r="C111" s="9" t="s">
        <v>298</v>
      </c>
      <c r="D111" s="9" t="s">
        <v>299</v>
      </c>
      <c r="E111" s="9" t="s">
        <v>40</v>
      </c>
      <c r="F111" s="9" t="s">
        <v>41</v>
      </c>
      <c r="G111" s="9" t="s">
        <v>42</v>
      </c>
      <c r="H111" s="9" t="s">
        <v>54</v>
      </c>
      <c r="I111" s="10">
        <v>1</v>
      </c>
      <c r="J111" s="9" t="s">
        <v>44</v>
      </c>
      <c r="K111" s="9" t="s">
        <v>300</v>
      </c>
      <c r="L111" s="10">
        <v>20.830544100000001</v>
      </c>
      <c r="M111" s="10">
        <v>-156.90294929999999</v>
      </c>
      <c r="N111" s="10">
        <v>1918</v>
      </c>
      <c r="O111" s="9" t="s">
        <v>46</v>
      </c>
      <c r="P111" s="10">
        <v>1918</v>
      </c>
      <c r="Q111" s="9" t="s">
        <v>46</v>
      </c>
      <c r="R111" s="9" t="s">
        <v>47</v>
      </c>
      <c r="S111" s="9" t="s">
        <v>301</v>
      </c>
      <c r="T111" s="11"/>
      <c r="U111" s="9" t="s">
        <v>155</v>
      </c>
      <c r="V111" s="10">
        <v>19.593801500000001</v>
      </c>
      <c r="W111" s="10">
        <v>-155.4283701</v>
      </c>
      <c r="X111" s="10">
        <v>1870</v>
      </c>
      <c r="Y111" s="9" t="s">
        <v>46</v>
      </c>
      <c r="Z111" s="10">
        <v>1879</v>
      </c>
      <c r="AA111" s="9" t="s">
        <v>46</v>
      </c>
      <c r="AB111" s="9" t="s">
        <v>157</v>
      </c>
      <c r="AC111" s="9" t="s">
        <v>159</v>
      </c>
      <c r="AD111" s="11"/>
      <c r="AE111" s="10">
        <v>32</v>
      </c>
      <c r="AF111" s="10">
        <v>32</v>
      </c>
      <c r="AG111" s="10">
        <v>80</v>
      </c>
      <c r="AH111" s="10">
        <v>71</v>
      </c>
      <c r="AI111" s="10">
        <v>39</v>
      </c>
      <c r="AJ111" s="10">
        <v>48</v>
      </c>
      <c r="AK111" s="10">
        <v>43.5</v>
      </c>
      <c r="AL111" s="10">
        <v>-9</v>
      </c>
      <c r="AM111" s="9" t="s">
        <v>57</v>
      </c>
    </row>
    <row r="112" spans="1:39" ht="20" customHeight="1" x14ac:dyDescent="0.15">
      <c r="A112" s="7">
        <v>111776369</v>
      </c>
      <c r="B112" s="8">
        <v>22720738</v>
      </c>
      <c r="C112" s="9" t="s">
        <v>298</v>
      </c>
      <c r="D112" s="9" t="s">
        <v>299</v>
      </c>
      <c r="E112" s="9" t="s">
        <v>40</v>
      </c>
      <c r="F112" s="9" t="s">
        <v>41</v>
      </c>
      <c r="G112" s="9" t="s">
        <v>42</v>
      </c>
      <c r="H112" s="9" t="s">
        <v>58</v>
      </c>
      <c r="I112" s="10">
        <v>1</v>
      </c>
      <c r="J112" s="9" t="s">
        <v>44</v>
      </c>
      <c r="K112" s="9" t="s">
        <v>300</v>
      </c>
      <c r="L112" s="10">
        <v>20.830544100000001</v>
      </c>
      <c r="M112" s="10">
        <v>-156.90294929999999</v>
      </c>
      <c r="N112" s="10">
        <v>1918</v>
      </c>
      <c r="O112" s="9" t="s">
        <v>46</v>
      </c>
      <c r="P112" s="10">
        <v>1918</v>
      </c>
      <c r="Q112" s="9" t="s">
        <v>46</v>
      </c>
      <c r="R112" s="9" t="s">
        <v>47</v>
      </c>
      <c r="S112" s="9" t="s">
        <v>301</v>
      </c>
      <c r="T112" s="11"/>
      <c r="U112" s="9" t="s">
        <v>155</v>
      </c>
      <c r="V112" s="10">
        <v>19.593801500000001</v>
      </c>
      <c r="W112" s="10">
        <v>-155.4283701</v>
      </c>
      <c r="X112" s="10">
        <v>1778</v>
      </c>
      <c r="Y112" s="9" t="s">
        <v>46</v>
      </c>
      <c r="Z112" s="10">
        <v>1778</v>
      </c>
      <c r="AA112" s="9" t="s">
        <v>46</v>
      </c>
      <c r="AB112" s="9" t="s">
        <v>157</v>
      </c>
      <c r="AC112" s="9" t="s">
        <v>161</v>
      </c>
      <c r="AD112" s="11"/>
      <c r="AE112" s="10">
        <v>32</v>
      </c>
      <c r="AF112" s="10">
        <v>32</v>
      </c>
      <c r="AG112" s="10">
        <v>172</v>
      </c>
      <c r="AH112" s="10">
        <v>172</v>
      </c>
      <c r="AI112" s="10">
        <v>140</v>
      </c>
      <c r="AJ112" s="10">
        <v>140</v>
      </c>
      <c r="AK112" s="10">
        <v>140</v>
      </c>
      <c r="AL112" s="10">
        <v>0</v>
      </c>
      <c r="AM112" s="9" t="s">
        <v>103</v>
      </c>
    </row>
    <row r="113" spans="1:39" ht="20" customHeight="1" x14ac:dyDescent="0.15">
      <c r="A113" s="7">
        <v>111776369</v>
      </c>
      <c r="B113" s="8">
        <v>22720738</v>
      </c>
      <c r="C113" s="9" t="s">
        <v>298</v>
      </c>
      <c r="D113" s="9" t="s">
        <v>299</v>
      </c>
      <c r="E113" s="9" t="s">
        <v>40</v>
      </c>
      <c r="F113" s="9" t="s">
        <v>41</v>
      </c>
      <c r="G113" s="9" t="s">
        <v>42</v>
      </c>
      <c r="H113" s="9" t="s">
        <v>59</v>
      </c>
      <c r="I113" s="10">
        <v>0</v>
      </c>
      <c r="J113" s="9" t="s">
        <v>44</v>
      </c>
      <c r="K113" s="9" t="s">
        <v>300</v>
      </c>
      <c r="L113" s="10">
        <v>20.830544100000001</v>
      </c>
      <c r="M113" s="10">
        <v>-156.90294929999999</v>
      </c>
      <c r="N113" s="10">
        <v>1918</v>
      </c>
      <c r="O113" s="9" t="s">
        <v>46</v>
      </c>
      <c r="P113" s="10">
        <v>1918</v>
      </c>
      <c r="Q113" s="9" t="s">
        <v>46</v>
      </c>
      <c r="R113" s="9" t="s">
        <v>47</v>
      </c>
      <c r="S113" s="9" t="s">
        <v>301</v>
      </c>
      <c r="T113" s="11"/>
      <c r="U113" s="9" t="s">
        <v>155</v>
      </c>
      <c r="V113" s="10">
        <v>19.593801500000001</v>
      </c>
      <c r="W113" s="10">
        <v>-155.4283701</v>
      </c>
      <c r="X113" s="10">
        <v>1778</v>
      </c>
      <c r="Y113" s="9" t="s">
        <v>46</v>
      </c>
      <c r="Z113" s="10">
        <v>1778</v>
      </c>
      <c r="AA113" s="9" t="s">
        <v>46</v>
      </c>
      <c r="AB113" s="9" t="s">
        <v>157</v>
      </c>
      <c r="AC113" s="9" t="s">
        <v>161</v>
      </c>
      <c r="AD113" s="11"/>
      <c r="AE113" s="10">
        <v>32</v>
      </c>
      <c r="AF113" s="10">
        <v>32</v>
      </c>
      <c r="AG113" s="10">
        <v>172</v>
      </c>
      <c r="AH113" s="10">
        <v>172</v>
      </c>
      <c r="AI113" s="10">
        <v>140</v>
      </c>
      <c r="AJ113" s="10">
        <v>140</v>
      </c>
      <c r="AK113" s="10">
        <v>140</v>
      </c>
      <c r="AL113" s="10">
        <v>0</v>
      </c>
      <c r="AM113" s="9" t="s">
        <v>103</v>
      </c>
    </row>
    <row r="114" spans="1:39" ht="20" customHeight="1" x14ac:dyDescent="0.15">
      <c r="A114" s="7">
        <v>111776645</v>
      </c>
      <c r="B114" s="8">
        <v>22720622</v>
      </c>
      <c r="C114" s="9" t="s">
        <v>302</v>
      </c>
      <c r="D114" s="9" t="s">
        <v>303</v>
      </c>
      <c r="E114" s="9" t="s">
        <v>304</v>
      </c>
      <c r="F114" s="9" t="s">
        <v>41</v>
      </c>
      <c r="G114" s="9" t="s">
        <v>42</v>
      </c>
      <c r="H114" s="9" t="s">
        <v>54</v>
      </c>
      <c r="I114" s="10">
        <v>1</v>
      </c>
      <c r="J114" s="9" t="s">
        <v>44</v>
      </c>
      <c r="K114" s="9" t="s">
        <v>81</v>
      </c>
      <c r="L114" s="10">
        <v>26.943967000000001</v>
      </c>
      <c r="M114" s="10">
        <v>142.104546</v>
      </c>
      <c r="N114" s="10">
        <v>1828</v>
      </c>
      <c r="O114" s="9" t="s">
        <v>46</v>
      </c>
      <c r="P114" s="10">
        <v>1828</v>
      </c>
      <c r="Q114" s="9" t="s">
        <v>46</v>
      </c>
      <c r="R114" s="9" t="s">
        <v>47</v>
      </c>
      <c r="S114" s="9" t="s">
        <v>305</v>
      </c>
      <c r="T114" s="11"/>
      <c r="U114" s="9" t="s">
        <v>83</v>
      </c>
      <c r="V114" s="10">
        <v>27.078337999999999</v>
      </c>
      <c r="W114" s="10">
        <v>142.21480199999999</v>
      </c>
      <c r="X114" s="10">
        <v>1901</v>
      </c>
      <c r="Y114" s="9" t="s">
        <v>46</v>
      </c>
      <c r="Z114" s="10">
        <v>1925</v>
      </c>
      <c r="AA114" s="9" t="s">
        <v>46</v>
      </c>
      <c r="AB114" s="9" t="s">
        <v>84</v>
      </c>
      <c r="AC114" s="9" t="s">
        <v>85</v>
      </c>
      <c r="AD114" s="11"/>
      <c r="AE114" s="10">
        <v>122</v>
      </c>
      <c r="AF114" s="10">
        <v>122</v>
      </c>
      <c r="AG114" s="10">
        <v>49</v>
      </c>
      <c r="AH114" s="10">
        <v>25</v>
      </c>
      <c r="AI114" s="10">
        <v>-97</v>
      </c>
      <c r="AJ114" s="10">
        <v>-73</v>
      </c>
      <c r="AK114" s="10">
        <v>-85</v>
      </c>
      <c r="AL114" s="10">
        <v>-24</v>
      </c>
      <c r="AM114" s="9" t="s">
        <v>86</v>
      </c>
    </row>
    <row r="115" spans="1:39" ht="20" customHeight="1" x14ac:dyDescent="0.15">
      <c r="A115" s="7">
        <v>111776645</v>
      </c>
      <c r="B115" s="8">
        <v>22720622</v>
      </c>
      <c r="C115" s="9" t="s">
        <v>302</v>
      </c>
      <c r="D115" s="9" t="s">
        <v>303</v>
      </c>
      <c r="E115" s="9" t="s">
        <v>304</v>
      </c>
      <c r="F115" s="9" t="s">
        <v>41</v>
      </c>
      <c r="G115" s="9" t="s">
        <v>42</v>
      </c>
      <c r="H115" s="9" t="s">
        <v>58</v>
      </c>
      <c r="I115" s="10">
        <v>1</v>
      </c>
      <c r="J115" s="9" t="s">
        <v>44</v>
      </c>
      <c r="K115" s="9" t="s">
        <v>81</v>
      </c>
      <c r="L115" s="10">
        <v>26.943967000000001</v>
      </c>
      <c r="M115" s="10">
        <v>142.104546</v>
      </c>
      <c r="N115" s="10">
        <v>1828</v>
      </c>
      <c r="O115" s="9" t="s">
        <v>46</v>
      </c>
      <c r="P115" s="10">
        <v>1828</v>
      </c>
      <c r="Q115" s="9" t="s">
        <v>46</v>
      </c>
      <c r="R115" s="9" t="s">
        <v>47</v>
      </c>
      <c r="S115" s="9" t="s">
        <v>305</v>
      </c>
      <c r="T115" s="11"/>
      <c r="U115" s="9" t="s">
        <v>83</v>
      </c>
      <c r="V115" s="10">
        <v>27.078337999999999</v>
      </c>
      <c r="W115" s="10">
        <v>142.21480199999999</v>
      </c>
      <c r="X115" s="10">
        <v>1603</v>
      </c>
      <c r="Y115" s="9" t="s">
        <v>46</v>
      </c>
      <c r="Z115" s="10">
        <v>1868</v>
      </c>
      <c r="AA115" s="9" t="s">
        <v>46</v>
      </c>
      <c r="AB115" s="9" t="s">
        <v>84</v>
      </c>
      <c r="AC115" s="9" t="s">
        <v>88</v>
      </c>
      <c r="AD115" s="11"/>
      <c r="AE115" s="10">
        <v>122</v>
      </c>
      <c r="AF115" s="10">
        <v>122</v>
      </c>
      <c r="AG115" s="10">
        <v>347</v>
      </c>
      <c r="AH115" s="10">
        <v>82</v>
      </c>
      <c r="AI115" s="10">
        <v>-40</v>
      </c>
      <c r="AJ115" s="10">
        <v>225</v>
      </c>
      <c r="AK115" s="10">
        <v>92.5</v>
      </c>
      <c r="AL115" s="10">
        <v>-265</v>
      </c>
      <c r="AM115" s="9" t="s">
        <v>128</v>
      </c>
    </row>
    <row r="116" spans="1:39" ht="20" customHeight="1" x14ac:dyDescent="0.15">
      <c r="A116" s="7">
        <v>111776645</v>
      </c>
      <c r="B116" s="8">
        <v>22720622</v>
      </c>
      <c r="C116" s="9" t="s">
        <v>302</v>
      </c>
      <c r="D116" s="9" t="s">
        <v>303</v>
      </c>
      <c r="E116" s="9" t="s">
        <v>304</v>
      </c>
      <c r="F116" s="9" t="s">
        <v>41</v>
      </c>
      <c r="G116" s="9" t="s">
        <v>42</v>
      </c>
      <c r="H116" s="9" t="s">
        <v>59</v>
      </c>
      <c r="I116" s="10">
        <v>0</v>
      </c>
      <c r="J116" s="9" t="s">
        <v>44</v>
      </c>
      <c r="K116" s="9" t="s">
        <v>81</v>
      </c>
      <c r="L116" s="10">
        <v>26.943967000000001</v>
      </c>
      <c r="M116" s="10">
        <v>142.104546</v>
      </c>
      <c r="N116" s="10">
        <v>1828</v>
      </c>
      <c r="O116" s="9" t="s">
        <v>46</v>
      </c>
      <c r="P116" s="10">
        <v>1828</v>
      </c>
      <c r="Q116" s="9" t="s">
        <v>46</v>
      </c>
      <c r="R116" s="9" t="s">
        <v>47</v>
      </c>
      <c r="S116" s="9" t="s">
        <v>305</v>
      </c>
      <c r="T116" s="11"/>
      <c r="U116" s="9" t="s">
        <v>83</v>
      </c>
      <c r="V116" s="10">
        <v>27.078337999999999</v>
      </c>
      <c r="W116" s="10">
        <v>142.21480199999999</v>
      </c>
      <c r="X116" s="10">
        <v>1603</v>
      </c>
      <c r="Y116" s="9" t="s">
        <v>46</v>
      </c>
      <c r="Z116" s="10">
        <v>1868</v>
      </c>
      <c r="AA116" s="9" t="s">
        <v>46</v>
      </c>
      <c r="AB116" s="9" t="s">
        <v>84</v>
      </c>
      <c r="AC116" s="9" t="s">
        <v>90</v>
      </c>
      <c r="AD116" s="11"/>
      <c r="AE116" s="10">
        <v>122</v>
      </c>
      <c r="AF116" s="10">
        <v>122</v>
      </c>
      <c r="AG116" s="10">
        <v>347</v>
      </c>
      <c r="AH116" s="10">
        <v>82</v>
      </c>
      <c r="AI116" s="10">
        <v>-40</v>
      </c>
      <c r="AJ116" s="10">
        <v>225</v>
      </c>
      <c r="AK116" s="10">
        <v>92.5</v>
      </c>
      <c r="AL116" s="10">
        <v>-265</v>
      </c>
      <c r="AM116" s="9" t="s">
        <v>128</v>
      </c>
    </row>
    <row r="117" spans="1:39" ht="20" customHeight="1" x14ac:dyDescent="0.15">
      <c r="A117" s="7">
        <v>117345149</v>
      </c>
      <c r="B117" s="8">
        <v>22735592</v>
      </c>
      <c r="C117" s="9" t="s">
        <v>306</v>
      </c>
      <c r="D117" s="9" t="s">
        <v>307</v>
      </c>
      <c r="E117" s="9" t="s">
        <v>40</v>
      </c>
      <c r="F117" s="9" t="s">
        <v>41</v>
      </c>
      <c r="G117" s="9" t="s">
        <v>42</v>
      </c>
      <c r="H117" s="9" t="s">
        <v>43</v>
      </c>
      <c r="I117" s="10">
        <v>1</v>
      </c>
      <c r="J117" s="9" t="s">
        <v>44</v>
      </c>
      <c r="K117" s="9" t="s">
        <v>308</v>
      </c>
      <c r="L117" s="10">
        <v>-16.727982999999998</v>
      </c>
      <c r="M117" s="10">
        <v>-151.464911</v>
      </c>
      <c r="N117" s="10">
        <v>1875</v>
      </c>
      <c r="O117" s="9" t="s">
        <v>46</v>
      </c>
      <c r="P117" s="10">
        <v>1925</v>
      </c>
      <c r="Q117" s="9" t="s">
        <v>46</v>
      </c>
      <c r="R117" s="9" t="s">
        <v>47</v>
      </c>
      <c r="S117" s="9" t="s">
        <v>309</v>
      </c>
      <c r="T117" s="11"/>
      <c r="U117" s="9" t="s">
        <v>122</v>
      </c>
      <c r="V117" s="10">
        <v>-17.687343899999998</v>
      </c>
      <c r="W117" s="10">
        <v>-149.44516809999999</v>
      </c>
      <c r="X117" s="10">
        <v>520</v>
      </c>
      <c r="Y117" s="9" t="s">
        <v>72</v>
      </c>
      <c r="Z117" s="10">
        <v>640</v>
      </c>
      <c r="AA117" s="9" t="s">
        <v>72</v>
      </c>
      <c r="AB117" s="9" t="s">
        <v>124</v>
      </c>
      <c r="AC117" s="9" t="s">
        <v>125</v>
      </c>
      <c r="AD117" s="9" t="s">
        <v>126</v>
      </c>
      <c r="AE117" s="10">
        <v>75</v>
      </c>
      <c r="AF117" s="10">
        <v>25</v>
      </c>
      <c r="AG117" s="10">
        <v>520</v>
      </c>
      <c r="AH117" s="10">
        <v>640</v>
      </c>
      <c r="AI117" s="10">
        <v>565</v>
      </c>
      <c r="AJ117" s="10">
        <v>495</v>
      </c>
      <c r="AK117" s="10">
        <v>530</v>
      </c>
      <c r="AL117" s="10">
        <v>70</v>
      </c>
      <c r="AM117" s="9" t="s">
        <v>53</v>
      </c>
    </row>
    <row r="118" spans="1:39" ht="20" customHeight="1" x14ac:dyDescent="0.15">
      <c r="A118" s="7">
        <v>117345149</v>
      </c>
      <c r="B118" s="8">
        <v>22735592</v>
      </c>
      <c r="C118" s="9" t="s">
        <v>306</v>
      </c>
      <c r="D118" s="9" t="s">
        <v>307</v>
      </c>
      <c r="E118" s="9" t="s">
        <v>40</v>
      </c>
      <c r="F118" s="9" t="s">
        <v>41</v>
      </c>
      <c r="G118" s="9" t="s">
        <v>42</v>
      </c>
      <c r="H118" s="9" t="s">
        <v>54</v>
      </c>
      <c r="I118" s="10">
        <v>1</v>
      </c>
      <c r="J118" s="9" t="s">
        <v>44</v>
      </c>
      <c r="K118" s="9" t="s">
        <v>308</v>
      </c>
      <c r="L118" s="10">
        <v>-16.727982999999998</v>
      </c>
      <c r="M118" s="10">
        <v>-151.464911</v>
      </c>
      <c r="N118" s="10">
        <v>1875</v>
      </c>
      <c r="O118" s="9" t="s">
        <v>46</v>
      </c>
      <c r="P118" s="10">
        <v>1925</v>
      </c>
      <c r="Q118" s="9" t="s">
        <v>46</v>
      </c>
      <c r="R118" s="9" t="s">
        <v>47</v>
      </c>
      <c r="S118" s="9" t="s">
        <v>310</v>
      </c>
      <c r="T118" s="11"/>
      <c r="U118" s="9" t="s">
        <v>122</v>
      </c>
      <c r="V118" s="10">
        <v>-17.687343899999998</v>
      </c>
      <c r="W118" s="10">
        <v>-149.44516809999999</v>
      </c>
      <c r="X118" s="10">
        <v>1768</v>
      </c>
      <c r="Y118" s="9" t="s">
        <v>46</v>
      </c>
      <c r="Z118" s="10">
        <v>1919</v>
      </c>
      <c r="AA118" s="9" t="s">
        <v>46</v>
      </c>
      <c r="AB118" s="9" t="s">
        <v>124</v>
      </c>
      <c r="AC118" s="9" t="s">
        <v>127</v>
      </c>
      <c r="AD118" s="9" t="s">
        <v>126</v>
      </c>
      <c r="AE118" s="10">
        <v>75</v>
      </c>
      <c r="AF118" s="10">
        <v>25</v>
      </c>
      <c r="AG118" s="10">
        <v>182</v>
      </c>
      <c r="AH118" s="10">
        <v>31</v>
      </c>
      <c r="AI118" s="10">
        <v>-44</v>
      </c>
      <c r="AJ118" s="10">
        <v>157</v>
      </c>
      <c r="AK118" s="10">
        <v>56.5</v>
      </c>
      <c r="AL118" s="10">
        <v>-201</v>
      </c>
      <c r="AM118" s="9" t="s">
        <v>128</v>
      </c>
    </row>
    <row r="119" spans="1:39" ht="20" customHeight="1" x14ac:dyDescent="0.15">
      <c r="A119" s="7">
        <v>117345149</v>
      </c>
      <c r="B119" s="8">
        <v>22735592</v>
      </c>
      <c r="C119" s="9" t="s">
        <v>306</v>
      </c>
      <c r="D119" s="9" t="s">
        <v>307</v>
      </c>
      <c r="E119" s="9" t="s">
        <v>40</v>
      </c>
      <c r="F119" s="9" t="s">
        <v>41</v>
      </c>
      <c r="G119" s="9" t="s">
        <v>42</v>
      </c>
      <c r="H119" s="9" t="s">
        <v>58</v>
      </c>
      <c r="I119" s="10">
        <v>1</v>
      </c>
      <c r="J119" s="9" t="s">
        <v>44</v>
      </c>
      <c r="K119" s="9" t="s">
        <v>308</v>
      </c>
      <c r="L119" s="10">
        <v>-16.727982999999998</v>
      </c>
      <c r="M119" s="10">
        <v>-151.464911</v>
      </c>
      <c r="N119" s="10">
        <v>1875</v>
      </c>
      <c r="O119" s="9" t="s">
        <v>46</v>
      </c>
      <c r="P119" s="10">
        <v>1925</v>
      </c>
      <c r="Q119" s="9" t="s">
        <v>46</v>
      </c>
      <c r="R119" s="9" t="s">
        <v>47</v>
      </c>
      <c r="S119" s="9" t="s">
        <v>310</v>
      </c>
      <c r="T119" s="11"/>
      <c r="U119" s="9" t="s">
        <v>122</v>
      </c>
      <c r="V119" s="10">
        <v>-17.687343899999998</v>
      </c>
      <c r="W119" s="10">
        <v>-149.44516809999999</v>
      </c>
      <c r="X119" s="10">
        <v>1767</v>
      </c>
      <c r="Y119" s="9" t="s">
        <v>46</v>
      </c>
      <c r="Z119" s="10">
        <v>1923</v>
      </c>
      <c r="AA119" s="9" t="s">
        <v>46</v>
      </c>
      <c r="AB119" s="9" t="s">
        <v>124</v>
      </c>
      <c r="AC119" s="9" t="s">
        <v>129</v>
      </c>
      <c r="AD119" s="9" t="s">
        <v>126</v>
      </c>
      <c r="AE119" s="10">
        <v>75</v>
      </c>
      <c r="AF119" s="10">
        <v>25</v>
      </c>
      <c r="AG119" s="10">
        <v>183</v>
      </c>
      <c r="AH119" s="10">
        <v>27</v>
      </c>
      <c r="AI119" s="10">
        <v>-48</v>
      </c>
      <c r="AJ119" s="10">
        <v>158</v>
      </c>
      <c r="AK119" s="10">
        <v>55</v>
      </c>
      <c r="AL119" s="10">
        <v>-206</v>
      </c>
      <c r="AM119" s="9" t="s">
        <v>128</v>
      </c>
    </row>
    <row r="120" spans="1:39" ht="20" customHeight="1" x14ac:dyDescent="0.15">
      <c r="A120" s="7">
        <v>119205634</v>
      </c>
      <c r="B120" s="8">
        <v>62239833</v>
      </c>
      <c r="C120" s="9" t="s">
        <v>311</v>
      </c>
      <c r="D120" s="9" t="s">
        <v>312</v>
      </c>
      <c r="E120" s="9" t="s">
        <v>40</v>
      </c>
      <c r="F120" s="9" t="s">
        <v>41</v>
      </c>
      <c r="G120" s="9" t="s">
        <v>43</v>
      </c>
      <c r="H120" s="9" t="s">
        <v>43</v>
      </c>
      <c r="I120" s="10">
        <v>1</v>
      </c>
      <c r="J120" s="9" t="s">
        <v>44</v>
      </c>
      <c r="K120" s="9" t="s">
        <v>45</v>
      </c>
      <c r="L120" s="10">
        <v>-41.286499999999997</v>
      </c>
      <c r="M120" s="10">
        <v>174.77619999999999</v>
      </c>
      <c r="N120" s="10">
        <v>1250</v>
      </c>
      <c r="O120" s="9" t="s">
        <v>46</v>
      </c>
      <c r="P120" s="10">
        <v>1860</v>
      </c>
      <c r="Q120" s="9" t="s">
        <v>46</v>
      </c>
      <c r="R120" s="9" t="s">
        <v>47</v>
      </c>
      <c r="S120" s="9" t="s">
        <v>313</v>
      </c>
      <c r="T120" s="11"/>
      <c r="U120" s="9" t="s">
        <v>45</v>
      </c>
      <c r="V120" s="10">
        <v>-41.286499999999997</v>
      </c>
      <c r="W120" s="10">
        <v>174.77619999999999</v>
      </c>
      <c r="X120" s="10">
        <v>100</v>
      </c>
      <c r="Y120" s="9" t="s">
        <v>46</v>
      </c>
      <c r="Z120" s="10">
        <v>1200</v>
      </c>
      <c r="AA120" s="9" t="s">
        <v>46</v>
      </c>
      <c r="AB120" s="9" t="s">
        <v>196</v>
      </c>
      <c r="AC120" s="9" t="s">
        <v>197</v>
      </c>
      <c r="AD120" s="9" t="s">
        <v>198</v>
      </c>
      <c r="AE120" s="10">
        <v>700</v>
      </c>
      <c r="AF120" s="10">
        <v>90</v>
      </c>
      <c r="AG120" s="10">
        <v>1850</v>
      </c>
      <c r="AH120" s="10">
        <v>750</v>
      </c>
      <c r="AI120" s="10">
        <v>50</v>
      </c>
      <c r="AJ120" s="10">
        <v>1760</v>
      </c>
      <c r="AK120" s="10">
        <v>905</v>
      </c>
      <c r="AL120" s="10">
        <v>-1710</v>
      </c>
      <c r="AM120" s="9" t="s">
        <v>57</v>
      </c>
    </row>
    <row r="121" spans="1:39" ht="20" customHeight="1" x14ac:dyDescent="0.15">
      <c r="A121" s="7">
        <v>119205634</v>
      </c>
      <c r="B121" s="8">
        <v>62239833</v>
      </c>
      <c r="C121" s="9" t="s">
        <v>311</v>
      </c>
      <c r="D121" s="9" t="s">
        <v>312</v>
      </c>
      <c r="E121" s="9" t="s">
        <v>40</v>
      </c>
      <c r="F121" s="9" t="s">
        <v>41</v>
      </c>
      <c r="G121" s="9" t="s">
        <v>43</v>
      </c>
      <c r="H121" s="9" t="s">
        <v>54</v>
      </c>
      <c r="I121" s="10">
        <v>0</v>
      </c>
      <c r="J121" s="9" t="s">
        <v>44</v>
      </c>
      <c r="K121" s="9" t="s">
        <v>45</v>
      </c>
      <c r="L121" s="10">
        <v>-41.286499999999997</v>
      </c>
      <c r="M121" s="10">
        <v>174.77619999999999</v>
      </c>
      <c r="N121" s="10">
        <v>1250</v>
      </c>
      <c r="O121" s="9" t="s">
        <v>46</v>
      </c>
      <c r="P121" s="10">
        <v>1860</v>
      </c>
      <c r="Q121" s="9" t="s">
        <v>46</v>
      </c>
      <c r="R121" s="9" t="s">
        <v>47</v>
      </c>
      <c r="S121" s="9" t="s">
        <v>313</v>
      </c>
      <c r="T121" s="11"/>
      <c r="U121" s="9" t="s">
        <v>45</v>
      </c>
      <c r="V121" s="10">
        <v>-41.286499999999997</v>
      </c>
      <c r="W121" s="10">
        <v>174.77619999999999</v>
      </c>
      <c r="X121" s="10">
        <v>1860</v>
      </c>
      <c r="Y121" s="9" t="s">
        <v>46</v>
      </c>
      <c r="Z121" s="10">
        <v>1860</v>
      </c>
      <c r="AA121" s="9" t="s">
        <v>46</v>
      </c>
      <c r="AB121" s="9" t="s">
        <v>55</v>
      </c>
      <c r="AC121" s="9" t="s">
        <v>56</v>
      </c>
      <c r="AD121" s="11"/>
      <c r="AE121" s="10">
        <v>700</v>
      </c>
      <c r="AF121" s="10">
        <v>90</v>
      </c>
      <c r="AG121" s="10">
        <v>90</v>
      </c>
      <c r="AH121" s="10">
        <v>90</v>
      </c>
      <c r="AI121" s="10">
        <v>-610</v>
      </c>
      <c r="AJ121" s="10">
        <v>0</v>
      </c>
      <c r="AK121" s="10">
        <v>-305</v>
      </c>
      <c r="AL121" s="10">
        <v>-610</v>
      </c>
      <c r="AM121" s="9" t="s">
        <v>128</v>
      </c>
    </row>
    <row r="122" spans="1:39" ht="20" customHeight="1" x14ac:dyDescent="0.15">
      <c r="A122" s="7">
        <v>119205634</v>
      </c>
      <c r="B122" s="8">
        <v>62239833</v>
      </c>
      <c r="C122" s="9" t="s">
        <v>311</v>
      </c>
      <c r="D122" s="9" t="s">
        <v>312</v>
      </c>
      <c r="E122" s="9" t="s">
        <v>40</v>
      </c>
      <c r="F122" s="9" t="s">
        <v>41</v>
      </c>
      <c r="G122" s="9" t="s">
        <v>43</v>
      </c>
      <c r="H122" s="9" t="s">
        <v>58</v>
      </c>
      <c r="I122" s="10">
        <v>0</v>
      </c>
      <c r="J122" s="9" t="s">
        <v>44</v>
      </c>
      <c r="K122" s="9" t="s">
        <v>45</v>
      </c>
      <c r="L122" s="10">
        <v>-41.286499999999997</v>
      </c>
      <c r="M122" s="10">
        <v>174.77619999999999</v>
      </c>
      <c r="N122" s="10">
        <v>1250</v>
      </c>
      <c r="O122" s="9" t="s">
        <v>46</v>
      </c>
      <c r="P122" s="10">
        <v>1860</v>
      </c>
      <c r="Q122" s="9" t="s">
        <v>46</v>
      </c>
      <c r="R122" s="9" t="s">
        <v>47</v>
      </c>
      <c r="S122" s="9" t="s">
        <v>313</v>
      </c>
      <c r="T122" s="11"/>
      <c r="U122" s="9" t="s">
        <v>45</v>
      </c>
      <c r="V122" s="10">
        <v>-41.286499999999997</v>
      </c>
      <c r="W122" s="10">
        <v>174.77619999999999</v>
      </c>
      <c r="X122" s="10">
        <v>1790</v>
      </c>
      <c r="Y122" s="9" t="s">
        <v>46</v>
      </c>
      <c r="Z122" s="10">
        <v>1790</v>
      </c>
      <c r="AA122" s="9" t="s">
        <v>46</v>
      </c>
      <c r="AB122" s="9" t="s">
        <v>55</v>
      </c>
      <c r="AC122" s="9" t="s">
        <v>56</v>
      </c>
      <c r="AD122" s="11"/>
      <c r="AE122" s="10">
        <v>700</v>
      </c>
      <c r="AF122" s="10">
        <v>90</v>
      </c>
      <c r="AG122" s="10">
        <v>160</v>
      </c>
      <c r="AH122" s="10">
        <v>160</v>
      </c>
      <c r="AI122" s="10">
        <v>-540</v>
      </c>
      <c r="AJ122" s="10">
        <v>70</v>
      </c>
      <c r="AK122" s="10">
        <v>-235</v>
      </c>
      <c r="AL122" s="10">
        <v>-610</v>
      </c>
      <c r="AM122" s="9" t="s">
        <v>128</v>
      </c>
    </row>
    <row r="123" spans="1:39" ht="20" customHeight="1" x14ac:dyDescent="0.15">
      <c r="A123" s="7">
        <v>119205634</v>
      </c>
      <c r="B123" s="8">
        <v>62239833</v>
      </c>
      <c r="C123" s="9" t="s">
        <v>311</v>
      </c>
      <c r="D123" s="9" t="s">
        <v>312</v>
      </c>
      <c r="E123" s="9" t="s">
        <v>40</v>
      </c>
      <c r="F123" s="9" t="s">
        <v>41</v>
      </c>
      <c r="G123" s="9" t="s">
        <v>43</v>
      </c>
      <c r="H123" s="9" t="s">
        <v>59</v>
      </c>
      <c r="I123" s="10">
        <v>0</v>
      </c>
      <c r="J123" s="9" t="s">
        <v>44</v>
      </c>
      <c r="K123" s="9" t="s">
        <v>45</v>
      </c>
      <c r="L123" s="10">
        <v>-41.286499999999997</v>
      </c>
      <c r="M123" s="10">
        <v>174.77619999999999</v>
      </c>
      <c r="N123" s="10">
        <v>1250</v>
      </c>
      <c r="O123" s="9" t="s">
        <v>46</v>
      </c>
      <c r="P123" s="10">
        <v>1860</v>
      </c>
      <c r="Q123" s="9" t="s">
        <v>46</v>
      </c>
      <c r="R123" s="9" t="s">
        <v>47</v>
      </c>
      <c r="S123" s="9" t="s">
        <v>313</v>
      </c>
      <c r="T123" s="11"/>
      <c r="U123" s="9" t="s">
        <v>45</v>
      </c>
      <c r="V123" s="10">
        <v>-41.286499999999997</v>
      </c>
      <c r="W123" s="10">
        <v>174.77619999999999</v>
      </c>
      <c r="X123" s="10">
        <v>1824</v>
      </c>
      <c r="Y123" s="9" t="s">
        <v>46</v>
      </c>
      <c r="Z123" s="10">
        <v>1824</v>
      </c>
      <c r="AA123" s="9" t="s">
        <v>46</v>
      </c>
      <c r="AB123" s="9" t="s">
        <v>55</v>
      </c>
      <c r="AC123" s="9" t="s">
        <v>56</v>
      </c>
      <c r="AD123" s="11"/>
      <c r="AE123" s="10">
        <v>700</v>
      </c>
      <c r="AF123" s="10">
        <v>90</v>
      </c>
      <c r="AG123" s="10">
        <v>126</v>
      </c>
      <c r="AH123" s="10">
        <v>126</v>
      </c>
      <c r="AI123" s="10">
        <v>-574</v>
      </c>
      <c r="AJ123" s="10">
        <v>36</v>
      </c>
      <c r="AK123" s="10">
        <v>-269</v>
      </c>
      <c r="AL123" s="10">
        <v>-610</v>
      </c>
      <c r="AM123" s="9" t="s">
        <v>128</v>
      </c>
    </row>
    <row r="124" spans="1:39" ht="20" customHeight="1" x14ac:dyDescent="0.15">
      <c r="A124" s="7">
        <v>119206067</v>
      </c>
      <c r="B124" s="8">
        <v>62254534</v>
      </c>
      <c r="C124" s="9" t="s">
        <v>314</v>
      </c>
      <c r="D124" s="9" t="s">
        <v>315</v>
      </c>
      <c r="E124" s="9" t="s">
        <v>40</v>
      </c>
      <c r="F124" s="9" t="s">
        <v>41</v>
      </c>
      <c r="G124" s="9" t="s">
        <v>54</v>
      </c>
      <c r="H124" s="9" t="s">
        <v>54</v>
      </c>
      <c r="I124" s="10">
        <v>1</v>
      </c>
      <c r="J124" s="9" t="s">
        <v>44</v>
      </c>
      <c r="K124" s="9" t="s">
        <v>316</v>
      </c>
      <c r="L124" s="10">
        <v>-20.275945100000001</v>
      </c>
      <c r="M124" s="10">
        <v>57.570356599999997</v>
      </c>
      <c r="N124" s="10">
        <v>1730</v>
      </c>
      <c r="O124" s="9" t="s">
        <v>46</v>
      </c>
      <c r="P124" s="10">
        <v>1730</v>
      </c>
      <c r="Q124" s="9" t="s">
        <v>46</v>
      </c>
      <c r="R124" s="9" t="s">
        <v>47</v>
      </c>
      <c r="S124" s="9" t="s">
        <v>317</v>
      </c>
      <c r="T124" s="11"/>
      <c r="U124" s="9" t="s">
        <v>316</v>
      </c>
      <c r="V124" s="10">
        <v>-20.275945100000001</v>
      </c>
      <c r="W124" s="10">
        <v>57.570356599999997</v>
      </c>
      <c r="X124" s="10">
        <v>1572</v>
      </c>
      <c r="Y124" s="9" t="s">
        <v>46</v>
      </c>
      <c r="Z124" s="10">
        <v>1597</v>
      </c>
      <c r="AA124" s="9" t="s">
        <v>46</v>
      </c>
      <c r="AB124" s="9" t="s">
        <v>318</v>
      </c>
      <c r="AC124" s="9" t="s">
        <v>319</v>
      </c>
      <c r="AD124" s="9" t="s">
        <v>320</v>
      </c>
      <c r="AE124" s="10">
        <v>220</v>
      </c>
      <c r="AF124" s="10">
        <v>220</v>
      </c>
      <c r="AG124" s="10">
        <v>378</v>
      </c>
      <c r="AH124" s="10">
        <v>353</v>
      </c>
      <c r="AI124" s="10">
        <v>133</v>
      </c>
      <c r="AJ124" s="10">
        <v>158</v>
      </c>
      <c r="AK124" s="10">
        <v>145.5</v>
      </c>
      <c r="AL124" s="10">
        <v>-25</v>
      </c>
      <c r="AM124" s="9" t="s">
        <v>103</v>
      </c>
    </row>
    <row r="125" spans="1:39" ht="20" customHeight="1" x14ac:dyDescent="0.15">
      <c r="A125" s="7">
        <v>119206067</v>
      </c>
      <c r="B125" s="8">
        <v>62254534</v>
      </c>
      <c r="C125" s="9" t="s">
        <v>314</v>
      </c>
      <c r="D125" s="9" t="s">
        <v>315</v>
      </c>
      <c r="E125" s="9" t="s">
        <v>40</v>
      </c>
      <c r="F125" s="9" t="s">
        <v>41</v>
      </c>
      <c r="G125" s="9" t="s">
        <v>54</v>
      </c>
      <c r="H125" s="9" t="s">
        <v>58</v>
      </c>
      <c r="I125" s="10">
        <v>0</v>
      </c>
      <c r="J125" s="9" t="s">
        <v>44</v>
      </c>
      <c r="K125" s="9" t="s">
        <v>316</v>
      </c>
      <c r="L125" s="10">
        <v>-20.275945100000001</v>
      </c>
      <c r="M125" s="10">
        <v>57.570356599999997</v>
      </c>
      <c r="N125" s="10">
        <v>1730</v>
      </c>
      <c r="O125" s="9" t="s">
        <v>46</v>
      </c>
      <c r="P125" s="10">
        <v>1730</v>
      </c>
      <c r="Q125" s="9" t="s">
        <v>46</v>
      </c>
      <c r="R125" s="9" t="s">
        <v>47</v>
      </c>
      <c r="S125" s="9" t="s">
        <v>317</v>
      </c>
      <c r="T125" s="11"/>
      <c r="U125" s="9" t="s">
        <v>316</v>
      </c>
      <c r="V125" s="10">
        <v>-20.275945100000001</v>
      </c>
      <c r="W125" s="10">
        <v>57.570356599999997</v>
      </c>
      <c r="X125" s="10">
        <v>1735</v>
      </c>
      <c r="Y125" s="9" t="s">
        <v>46</v>
      </c>
      <c r="Z125" s="10">
        <v>1735</v>
      </c>
      <c r="AA125" s="9" t="s">
        <v>46</v>
      </c>
      <c r="AB125" s="9" t="s">
        <v>318</v>
      </c>
      <c r="AC125" s="9" t="s">
        <v>321</v>
      </c>
      <c r="AD125" s="11"/>
      <c r="AE125" s="10">
        <v>220</v>
      </c>
      <c r="AF125" s="10">
        <v>220</v>
      </c>
      <c r="AG125" s="10">
        <v>215</v>
      </c>
      <c r="AH125" s="10">
        <v>215</v>
      </c>
      <c r="AI125" s="10">
        <v>-5</v>
      </c>
      <c r="AJ125" s="10">
        <v>-5</v>
      </c>
      <c r="AK125" s="10">
        <v>-5</v>
      </c>
      <c r="AL125" s="10">
        <v>0</v>
      </c>
      <c r="AM125" s="9" t="s">
        <v>86</v>
      </c>
    </row>
    <row r="126" spans="1:39" ht="20" customHeight="1" x14ac:dyDescent="0.15">
      <c r="A126" s="7">
        <v>119206244</v>
      </c>
      <c r="B126" s="8">
        <v>62257034</v>
      </c>
      <c r="C126" s="9" t="s">
        <v>322</v>
      </c>
      <c r="D126" s="9" t="s">
        <v>323</v>
      </c>
      <c r="E126" s="9" t="s">
        <v>40</v>
      </c>
      <c r="F126" s="9" t="s">
        <v>41</v>
      </c>
      <c r="G126" s="9" t="s">
        <v>54</v>
      </c>
      <c r="H126" s="9" t="s">
        <v>54</v>
      </c>
      <c r="I126" s="10">
        <v>1</v>
      </c>
      <c r="J126" s="9" t="s">
        <v>44</v>
      </c>
      <c r="K126" s="9" t="s">
        <v>316</v>
      </c>
      <c r="L126" s="10">
        <v>-20.275945100000001</v>
      </c>
      <c r="M126" s="10">
        <v>57.570356599999997</v>
      </c>
      <c r="N126" s="10">
        <v>1730</v>
      </c>
      <c r="O126" s="9" t="s">
        <v>46</v>
      </c>
      <c r="P126" s="10">
        <v>1730</v>
      </c>
      <c r="Q126" s="9" t="s">
        <v>46</v>
      </c>
      <c r="R126" s="9" t="s">
        <v>47</v>
      </c>
      <c r="S126" s="9" t="s">
        <v>324</v>
      </c>
      <c r="T126" s="11"/>
      <c r="U126" s="9" t="s">
        <v>316</v>
      </c>
      <c r="V126" s="10">
        <v>-20.275945100000001</v>
      </c>
      <c r="W126" s="10">
        <v>57.570356599999997</v>
      </c>
      <c r="X126" s="10">
        <v>1572</v>
      </c>
      <c r="Y126" s="9" t="s">
        <v>46</v>
      </c>
      <c r="Z126" s="10">
        <v>1597</v>
      </c>
      <c r="AA126" s="9" t="s">
        <v>46</v>
      </c>
      <c r="AB126" s="9" t="s">
        <v>318</v>
      </c>
      <c r="AC126" s="9" t="s">
        <v>319</v>
      </c>
      <c r="AD126" s="9" t="s">
        <v>320</v>
      </c>
      <c r="AE126" s="10">
        <v>220</v>
      </c>
      <c r="AF126" s="10">
        <v>220</v>
      </c>
      <c r="AG126" s="10">
        <v>378</v>
      </c>
      <c r="AH126" s="10">
        <v>353</v>
      </c>
      <c r="AI126" s="10">
        <v>133</v>
      </c>
      <c r="AJ126" s="10">
        <v>158</v>
      </c>
      <c r="AK126" s="10">
        <v>145.5</v>
      </c>
      <c r="AL126" s="10">
        <v>-25</v>
      </c>
      <c r="AM126" s="9" t="s">
        <v>103</v>
      </c>
    </row>
    <row r="127" spans="1:39" ht="20" customHeight="1" x14ac:dyDescent="0.15">
      <c r="A127" s="7">
        <v>119206244</v>
      </c>
      <c r="B127" s="8">
        <v>62257034</v>
      </c>
      <c r="C127" s="9" t="s">
        <v>322</v>
      </c>
      <c r="D127" s="9" t="s">
        <v>323</v>
      </c>
      <c r="E127" s="9" t="s">
        <v>40</v>
      </c>
      <c r="F127" s="9" t="s">
        <v>41</v>
      </c>
      <c r="G127" s="9" t="s">
        <v>54</v>
      </c>
      <c r="H127" s="9" t="s">
        <v>58</v>
      </c>
      <c r="I127" s="10">
        <v>0</v>
      </c>
      <c r="J127" s="9" t="s">
        <v>44</v>
      </c>
      <c r="K127" s="9" t="s">
        <v>316</v>
      </c>
      <c r="L127" s="10">
        <v>-20.275945100000001</v>
      </c>
      <c r="M127" s="10">
        <v>57.570356599999997</v>
      </c>
      <c r="N127" s="10">
        <v>1730</v>
      </c>
      <c r="O127" s="9" t="s">
        <v>46</v>
      </c>
      <c r="P127" s="10">
        <v>1730</v>
      </c>
      <c r="Q127" s="9" t="s">
        <v>46</v>
      </c>
      <c r="R127" s="9" t="s">
        <v>47</v>
      </c>
      <c r="S127" s="9" t="s">
        <v>324</v>
      </c>
      <c r="T127" s="11"/>
      <c r="U127" s="9" t="s">
        <v>316</v>
      </c>
      <c r="V127" s="10">
        <v>-20.275945100000001</v>
      </c>
      <c r="W127" s="10">
        <v>57.570356599999997</v>
      </c>
      <c r="X127" s="10">
        <v>1735</v>
      </c>
      <c r="Y127" s="9" t="s">
        <v>46</v>
      </c>
      <c r="Z127" s="10">
        <v>1735</v>
      </c>
      <c r="AA127" s="9" t="s">
        <v>46</v>
      </c>
      <c r="AB127" s="9" t="s">
        <v>318</v>
      </c>
      <c r="AC127" s="9" t="s">
        <v>321</v>
      </c>
      <c r="AD127" s="11"/>
      <c r="AE127" s="10">
        <v>220</v>
      </c>
      <c r="AF127" s="10">
        <v>220</v>
      </c>
      <c r="AG127" s="10">
        <v>215</v>
      </c>
      <c r="AH127" s="10">
        <v>215</v>
      </c>
      <c r="AI127" s="10">
        <v>-5</v>
      </c>
      <c r="AJ127" s="10">
        <v>-5</v>
      </c>
      <c r="AK127" s="10">
        <v>-5</v>
      </c>
      <c r="AL127" s="10">
        <v>0</v>
      </c>
      <c r="AM127" s="9" t="s">
        <v>86</v>
      </c>
    </row>
    <row r="128" spans="1:39" ht="20" customHeight="1" x14ac:dyDescent="0.15">
      <c r="A128" s="7">
        <v>119206485</v>
      </c>
      <c r="B128" s="8">
        <v>22728722</v>
      </c>
      <c r="C128" s="9" t="s">
        <v>325</v>
      </c>
      <c r="D128" s="9" t="s">
        <v>326</v>
      </c>
      <c r="E128" s="9" t="s">
        <v>327</v>
      </c>
      <c r="F128" s="9" t="s">
        <v>41</v>
      </c>
      <c r="G128" s="9" t="s">
        <v>54</v>
      </c>
      <c r="H128" s="9" t="s">
        <v>54</v>
      </c>
      <c r="I128" s="10">
        <v>1</v>
      </c>
      <c r="J128" s="9" t="s">
        <v>44</v>
      </c>
      <c r="K128" s="9" t="s">
        <v>328</v>
      </c>
      <c r="L128" s="10">
        <v>-19.7195149</v>
      </c>
      <c r="M128" s="10">
        <v>63.417593799999999</v>
      </c>
      <c r="N128" s="10">
        <v>1726</v>
      </c>
      <c r="O128" s="9" t="s">
        <v>46</v>
      </c>
      <c r="P128" s="10">
        <v>1761</v>
      </c>
      <c r="Q128" s="9" t="s">
        <v>46</v>
      </c>
      <c r="R128" s="9" t="s">
        <v>47</v>
      </c>
      <c r="S128" s="9" t="s">
        <v>329</v>
      </c>
      <c r="T128" s="11"/>
      <c r="U128" s="9" t="s">
        <v>328</v>
      </c>
      <c r="V128" s="10">
        <v>-19.7195149</v>
      </c>
      <c r="W128" s="10">
        <v>63.417593799999999</v>
      </c>
      <c r="X128" s="10">
        <v>1666</v>
      </c>
      <c r="Y128" s="9" t="s">
        <v>46</v>
      </c>
      <c r="Z128" s="10">
        <v>1690</v>
      </c>
      <c r="AA128" s="9" t="s">
        <v>46</v>
      </c>
      <c r="AB128" s="9" t="s">
        <v>318</v>
      </c>
      <c r="AC128" s="9" t="s">
        <v>330</v>
      </c>
      <c r="AD128" s="11"/>
      <c r="AE128" s="10">
        <v>224</v>
      </c>
      <c r="AF128" s="10">
        <v>189</v>
      </c>
      <c r="AG128" s="10">
        <v>284</v>
      </c>
      <c r="AH128" s="10">
        <v>260</v>
      </c>
      <c r="AI128" s="10">
        <v>36</v>
      </c>
      <c r="AJ128" s="10">
        <v>95</v>
      </c>
      <c r="AK128" s="10">
        <v>65.5</v>
      </c>
      <c r="AL128" s="10">
        <v>-59</v>
      </c>
      <c r="AM128" s="9" t="s">
        <v>57</v>
      </c>
    </row>
    <row r="129" spans="1:39" ht="20" customHeight="1" x14ac:dyDescent="0.15">
      <c r="A129" s="7">
        <v>119206485</v>
      </c>
      <c r="B129" s="8">
        <v>22728722</v>
      </c>
      <c r="C129" s="9" t="s">
        <v>325</v>
      </c>
      <c r="D129" s="9" t="s">
        <v>326</v>
      </c>
      <c r="E129" s="9" t="s">
        <v>327</v>
      </c>
      <c r="F129" s="9" t="s">
        <v>41</v>
      </c>
      <c r="G129" s="9" t="s">
        <v>54</v>
      </c>
      <c r="H129" s="9" t="s">
        <v>58</v>
      </c>
      <c r="I129" s="10">
        <v>0</v>
      </c>
      <c r="J129" s="9" t="s">
        <v>44</v>
      </c>
      <c r="K129" s="9" t="s">
        <v>328</v>
      </c>
      <c r="L129" s="10">
        <v>-19.7195149</v>
      </c>
      <c r="M129" s="10">
        <v>63.417593799999999</v>
      </c>
      <c r="N129" s="10">
        <v>1726</v>
      </c>
      <c r="O129" s="9" t="s">
        <v>46</v>
      </c>
      <c r="P129" s="10">
        <v>1761</v>
      </c>
      <c r="Q129" s="9" t="s">
        <v>46</v>
      </c>
      <c r="R129" s="9" t="s">
        <v>47</v>
      </c>
      <c r="S129" s="9" t="s">
        <v>329</v>
      </c>
      <c r="T129" s="11"/>
      <c r="U129" s="9" t="s">
        <v>328</v>
      </c>
      <c r="V129" s="10">
        <v>-19.7195149</v>
      </c>
      <c r="W129" s="10">
        <v>63.417593799999999</v>
      </c>
      <c r="X129" s="10">
        <v>1874</v>
      </c>
      <c r="Y129" s="9" t="s">
        <v>46</v>
      </c>
      <c r="Z129" s="10">
        <v>1914</v>
      </c>
      <c r="AA129" s="9" t="s">
        <v>46</v>
      </c>
      <c r="AB129" s="9" t="s">
        <v>75</v>
      </c>
      <c r="AC129" s="9" t="s">
        <v>331</v>
      </c>
      <c r="AD129" s="11"/>
      <c r="AE129" s="10">
        <v>224</v>
      </c>
      <c r="AF129" s="10">
        <v>189</v>
      </c>
      <c r="AG129" s="10">
        <v>76</v>
      </c>
      <c r="AH129" s="10">
        <v>36</v>
      </c>
      <c r="AI129" s="10">
        <v>-188</v>
      </c>
      <c r="AJ129" s="10">
        <v>-113</v>
      </c>
      <c r="AK129" s="10">
        <v>-150.5</v>
      </c>
      <c r="AL129" s="10">
        <v>-75</v>
      </c>
      <c r="AM129" s="9" t="s">
        <v>86</v>
      </c>
    </row>
    <row r="130" spans="1:39" ht="20" customHeight="1" x14ac:dyDescent="0.15">
      <c r="A130" s="7">
        <v>119206636</v>
      </c>
      <c r="B130" s="8">
        <v>62759683</v>
      </c>
      <c r="C130" s="9" t="s">
        <v>332</v>
      </c>
      <c r="D130" s="9" t="s">
        <v>333</v>
      </c>
      <c r="E130" s="9" t="s">
        <v>40</v>
      </c>
      <c r="F130" s="9" t="s">
        <v>41</v>
      </c>
      <c r="G130" s="9" t="s">
        <v>54</v>
      </c>
      <c r="H130" s="9" t="s">
        <v>54</v>
      </c>
      <c r="I130" s="10">
        <v>1</v>
      </c>
      <c r="J130" s="9" t="s">
        <v>44</v>
      </c>
      <c r="K130" s="9" t="s">
        <v>328</v>
      </c>
      <c r="L130" s="10">
        <v>-19.7195149</v>
      </c>
      <c r="M130" s="10">
        <v>63.417593799999999</v>
      </c>
      <c r="N130" s="10">
        <v>1601</v>
      </c>
      <c r="O130" s="9" t="s">
        <v>46</v>
      </c>
      <c r="P130" s="10">
        <v>1699</v>
      </c>
      <c r="Q130" s="9" t="s">
        <v>46</v>
      </c>
      <c r="R130" s="9" t="s">
        <v>47</v>
      </c>
      <c r="S130" s="9" t="s">
        <v>334</v>
      </c>
      <c r="T130" s="11"/>
      <c r="U130" s="9" t="s">
        <v>328</v>
      </c>
      <c r="V130" s="10">
        <v>-19.7195149</v>
      </c>
      <c r="W130" s="10">
        <v>63.417593799999999</v>
      </c>
      <c r="X130" s="10">
        <v>1666</v>
      </c>
      <c r="Y130" s="9" t="s">
        <v>46</v>
      </c>
      <c r="Z130" s="10">
        <v>1690</v>
      </c>
      <c r="AA130" s="9" t="s">
        <v>46</v>
      </c>
      <c r="AB130" s="9" t="s">
        <v>318</v>
      </c>
      <c r="AC130" s="9" t="s">
        <v>330</v>
      </c>
      <c r="AD130" s="11"/>
      <c r="AE130" s="10">
        <v>349</v>
      </c>
      <c r="AF130" s="10">
        <v>251</v>
      </c>
      <c r="AG130" s="10">
        <v>284</v>
      </c>
      <c r="AH130" s="10">
        <v>260</v>
      </c>
      <c r="AI130" s="10">
        <v>-89</v>
      </c>
      <c r="AJ130" s="10">
        <v>33</v>
      </c>
      <c r="AK130" s="10">
        <v>-28</v>
      </c>
      <c r="AL130" s="10">
        <v>-122</v>
      </c>
      <c r="AM130" s="9" t="s">
        <v>128</v>
      </c>
    </row>
    <row r="131" spans="1:39" ht="20" customHeight="1" x14ac:dyDescent="0.15">
      <c r="A131" s="7">
        <v>119206636</v>
      </c>
      <c r="B131" s="8">
        <v>62759683</v>
      </c>
      <c r="C131" s="9" t="s">
        <v>332</v>
      </c>
      <c r="D131" s="9" t="s">
        <v>333</v>
      </c>
      <c r="E131" s="9" t="s">
        <v>40</v>
      </c>
      <c r="F131" s="9" t="s">
        <v>41</v>
      </c>
      <c r="G131" s="9" t="s">
        <v>54</v>
      </c>
      <c r="H131" s="9" t="s">
        <v>58</v>
      </c>
      <c r="I131" s="10">
        <v>0</v>
      </c>
      <c r="J131" s="9" t="s">
        <v>44</v>
      </c>
      <c r="K131" s="9" t="s">
        <v>328</v>
      </c>
      <c r="L131" s="10">
        <v>-19.7195149</v>
      </c>
      <c r="M131" s="10">
        <v>63.417593799999999</v>
      </c>
      <c r="N131" s="10">
        <v>1601</v>
      </c>
      <c r="O131" s="9" t="s">
        <v>46</v>
      </c>
      <c r="P131" s="10">
        <v>1699</v>
      </c>
      <c r="Q131" s="9" t="s">
        <v>46</v>
      </c>
      <c r="R131" s="9" t="s">
        <v>47</v>
      </c>
      <c r="S131" s="9" t="s">
        <v>334</v>
      </c>
      <c r="T131" s="11"/>
      <c r="U131" s="9" t="s">
        <v>328</v>
      </c>
      <c r="V131" s="10">
        <v>-19.7195149</v>
      </c>
      <c r="W131" s="10">
        <v>63.417593799999999</v>
      </c>
      <c r="X131" s="10">
        <v>1874</v>
      </c>
      <c r="Y131" s="9" t="s">
        <v>46</v>
      </c>
      <c r="Z131" s="10">
        <v>1914</v>
      </c>
      <c r="AA131" s="9" t="s">
        <v>46</v>
      </c>
      <c r="AB131" s="9" t="s">
        <v>75</v>
      </c>
      <c r="AC131" s="9" t="s">
        <v>331</v>
      </c>
      <c r="AD131" s="11"/>
      <c r="AE131" s="10">
        <v>349</v>
      </c>
      <c r="AF131" s="10">
        <v>251</v>
      </c>
      <c r="AG131" s="10">
        <v>76</v>
      </c>
      <c r="AH131" s="10">
        <v>36</v>
      </c>
      <c r="AI131" s="10">
        <v>-313</v>
      </c>
      <c r="AJ131" s="10">
        <v>-175</v>
      </c>
      <c r="AK131" s="10">
        <v>-244</v>
      </c>
      <c r="AL131" s="10">
        <v>-138</v>
      </c>
      <c r="AM131" s="9" t="s">
        <v>86</v>
      </c>
    </row>
    <row r="132" spans="1:39" ht="20" customHeight="1" x14ac:dyDescent="0.15">
      <c r="A132" s="7">
        <v>119207514</v>
      </c>
      <c r="B132" s="8">
        <v>62258591</v>
      </c>
      <c r="C132" s="9" t="s">
        <v>335</v>
      </c>
      <c r="D132" s="9" t="s">
        <v>336</v>
      </c>
      <c r="E132" s="9" t="s">
        <v>40</v>
      </c>
      <c r="F132" s="9" t="s">
        <v>41</v>
      </c>
      <c r="G132" s="9" t="s">
        <v>54</v>
      </c>
      <c r="H132" s="9" t="s">
        <v>54</v>
      </c>
      <c r="I132" s="10">
        <v>1</v>
      </c>
      <c r="J132" s="9" t="s">
        <v>44</v>
      </c>
      <c r="K132" s="9" t="s">
        <v>337</v>
      </c>
      <c r="L132" s="10">
        <v>-21.1307379</v>
      </c>
      <c r="M132" s="10">
        <v>55.536480099999999</v>
      </c>
      <c r="N132" s="10">
        <v>1675</v>
      </c>
      <c r="O132" s="9" t="s">
        <v>46</v>
      </c>
      <c r="P132" s="10">
        <v>1700</v>
      </c>
      <c r="Q132" s="9" t="s">
        <v>46</v>
      </c>
      <c r="R132" s="9" t="s">
        <v>47</v>
      </c>
      <c r="S132" s="9" t="s">
        <v>338</v>
      </c>
      <c r="T132" s="11"/>
      <c r="U132" s="9" t="s">
        <v>337</v>
      </c>
      <c r="V132" s="10">
        <v>-21.1307379</v>
      </c>
      <c r="W132" s="10">
        <v>55.536480099999999</v>
      </c>
      <c r="X132" s="10">
        <v>1670</v>
      </c>
      <c r="Y132" s="9" t="s">
        <v>46</v>
      </c>
      <c r="Z132" s="10">
        <v>1670</v>
      </c>
      <c r="AA132" s="9" t="s">
        <v>46</v>
      </c>
      <c r="AB132" s="9" t="s">
        <v>318</v>
      </c>
      <c r="AC132" s="9" t="s">
        <v>339</v>
      </c>
      <c r="AD132" s="11"/>
      <c r="AE132" s="10">
        <v>275</v>
      </c>
      <c r="AF132" s="10">
        <v>250</v>
      </c>
      <c r="AG132" s="10">
        <v>280</v>
      </c>
      <c r="AH132" s="10">
        <v>280</v>
      </c>
      <c r="AI132" s="10">
        <v>5</v>
      </c>
      <c r="AJ132" s="10">
        <v>30</v>
      </c>
      <c r="AK132" s="10">
        <v>17.5</v>
      </c>
      <c r="AL132" s="10">
        <v>-25</v>
      </c>
      <c r="AM132" s="9" t="s">
        <v>57</v>
      </c>
    </row>
    <row r="133" spans="1:39" ht="20" customHeight="1" x14ac:dyDescent="0.15">
      <c r="A133" s="7">
        <v>119207514</v>
      </c>
      <c r="B133" s="8">
        <v>62258591</v>
      </c>
      <c r="C133" s="9" t="s">
        <v>335</v>
      </c>
      <c r="D133" s="9" t="s">
        <v>336</v>
      </c>
      <c r="E133" s="9" t="s">
        <v>40</v>
      </c>
      <c r="F133" s="9" t="s">
        <v>41</v>
      </c>
      <c r="G133" s="9" t="s">
        <v>54</v>
      </c>
      <c r="H133" s="9" t="s">
        <v>58</v>
      </c>
      <c r="I133" s="10">
        <v>0</v>
      </c>
      <c r="J133" s="9" t="s">
        <v>44</v>
      </c>
      <c r="K133" s="9" t="s">
        <v>337</v>
      </c>
      <c r="L133" s="10">
        <v>-21.1307379</v>
      </c>
      <c r="M133" s="10">
        <v>55.536480099999999</v>
      </c>
      <c r="N133" s="10">
        <v>1675</v>
      </c>
      <c r="O133" s="9" t="s">
        <v>46</v>
      </c>
      <c r="P133" s="10">
        <v>1700</v>
      </c>
      <c r="Q133" s="9" t="s">
        <v>46</v>
      </c>
      <c r="R133" s="9" t="s">
        <v>47</v>
      </c>
      <c r="S133" s="9" t="s">
        <v>338</v>
      </c>
      <c r="T133" s="11"/>
      <c r="U133" s="9" t="s">
        <v>337</v>
      </c>
      <c r="V133" s="10">
        <v>-21.1307379</v>
      </c>
      <c r="W133" s="10">
        <v>55.536480099999999</v>
      </c>
      <c r="X133" s="10">
        <v>1735</v>
      </c>
      <c r="Y133" s="9" t="s">
        <v>46</v>
      </c>
      <c r="Z133" s="10">
        <v>1735</v>
      </c>
      <c r="AA133" s="9" t="s">
        <v>46</v>
      </c>
      <c r="AB133" s="9" t="s">
        <v>318</v>
      </c>
      <c r="AC133" s="9" t="s">
        <v>321</v>
      </c>
      <c r="AD133" s="11"/>
      <c r="AE133" s="10">
        <v>275</v>
      </c>
      <c r="AF133" s="10">
        <v>250</v>
      </c>
      <c r="AG133" s="10">
        <v>215</v>
      </c>
      <c r="AH133" s="10">
        <v>215</v>
      </c>
      <c r="AI133" s="10">
        <v>-60</v>
      </c>
      <c r="AJ133" s="10">
        <v>-35</v>
      </c>
      <c r="AK133" s="10">
        <v>-47.5</v>
      </c>
      <c r="AL133" s="10">
        <v>-25</v>
      </c>
      <c r="AM133" s="9" t="s">
        <v>86</v>
      </c>
    </row>
    <row r="134" spans="1:39" ht="20" customHeight="1" x14ac:dyDescent="0.15">
      <c r="A134" s="7">
        <v>119207668</v>
      </c>
      <c r="B134" s="8">
        <v>62263064</v>
      </c>
      <c r="C134" s="9" t="s">
        <v>340</v>
      </c>
      <c r="D134" s="9" t="s">
        <v>341</v>
      </c>
      <c r="E134" s="9" t="s">
        <v>40</v>
      </c>
      <c r="F134" s="9" t="s">
        <v>41</v>
      </c>
      <c r="G134" s="9" t="s">
        <v>42</v>
      </c>
      <c r="H134" s="9" t="s">
        <v>43</v>
      </c>
      <c r="I134" s="10">
        <v>1</v>
      </c>
      <c r="J134" s="9" t="s">
        <v>44</v>
      </c>
      <c r="K134" s="9" t="s">
        <v>342</v>
      </c>
      <c r="L134" s="10">
        <v>-9.7793255000000006</v>
      </c>
      <c r="M134" s="10">
        <v>-139.00678350000001</v>
      </c>
      <c r="N134" s="10">
        <v>1937</v>
      </c>
      <c r="O134" s="9" t="s">
        <v>46</v>
      </c>
      <c r="P134" s="10">
        <v>1937</v>
      </c>
      <c r="Q134" s="9" t="s">
        <v>46</v>
      </c>
      <c r="R134" s="9" t="s">
        <v>47</v>
      </c>
      <c r="S134" s="9" t="s">
        <v>343</v>
      </c>
      <c r="T134" s="11"/>
      <c r="U134" s="9" t="s">
        <v>108</v>
      </c>
      <c r="V134" s="10">
        <v>-9.7793255000000006</v>
      </c>
      <c r="W134" s="10">
        <v>-139.00678350000001</v>
      </c>
      <c r="X134" s="10">
        <v>2000</v>
      </c>
      <c r="Y134" s="9" t="s">
        <v>72</v>
      </c>
      <c r="Z134" s="10">
        <v>2000</v>
      </c>
      <c r="AA134" s="9" t="s">
        <v>72</v>
      </c>
      <c r="AB134" s="9" t="s">
        <v>109</v>
      </c>
      <c r="AC134" s="9" t="s">
        <v>110</v>
      </c>
      <c r="AD134" s="11"/>
      <c r="AE134" s="10">
        <v>13</v>
      </c>
      <c r="AF134" s="10">
        <v>13</v>
      </c>
      <c r="AG134" s="10">
        <v>2000</v>
      </c>
      <c r="AH134" s="10">
        <v>2000</v>
      </c>
      <c r="AI134" s="10">
        <v>1987</v>
      </c>
      <c r="AJ134" s="10">
        <v>1987</v>
      </c>
      <c r="AK134" s="10">
        <v>1987</v>
      </c>
      <c r="AL134" s="10">
        <v>0</v>
      </c>
      <c r="AM134" s="9" t="s">
        <v>99</v>
      </c>
    </row>
    <row r="135" spans="1:39" ht="20" customHeight="1" x14ac:dyDescent="0.15">
      <c r="A135" s="7">
        <v>119207668</v>
      </c>
      <c r="B135" s="8">
        <v>62263064</v>
      </c>
      <c r="C135" s="9" t="s">
        <v>340</v>
      </c>
      <c r="D135" s="9" t="s">
        <v>341</v>
      </c>
      <c r="E135" s="9" t="s">
        <v>40</v>
      </c>
      <c r="F135" s="9" t="s">
        <v>41</v>
      </c>
      <c r="G135" s="9" t="s">
        <v>42</v>
      </c>
      <c r="H135" s="9" t="s">
        <v>54</v>
      </c>
      <c r="I135" s="10">
        <v>1</v>
      </c>
      <c r="J135" s="9" t="s">
        <v>44</v>
      </c>
      <c r="K135" s="9" t="s">
        <v>342</v>
      </c>
      <c r="L135" s="10">
        <v>-9.7793255000000006</v>
      </c>
      <c r="M135" s="10">
        <v>-139.00678350000001</v>
      </c>
      <c r="N135" s="10">
        <v>1937</v>
      </c>
      <c r="O135" s="9" t="s">
        <v>46</v>
      </c>
      <c r="P135" s="10">
        <v>1937</v>
      </c>
      <c r="Q135" s="9" t="s">
        <v>46</v>
      </c>
      <c r="R135" s="9" t="s">
        <v>47</v>
      </c>
      <c r="S135" s="9" t="s">
        <v>343</v>
      </c>
      <c r="T135" s="11"/>
      <c r="U135" s="9" t="s">
        <v>108</v>
      </c>
      <c r="V135" s="10">
        <v>-9.7793255000000006</v>
      </c>
      <c r="W135" s="10">
        <v>-139.00678350000001</v>
      </c>
      <c r="X135" s="10">
        <v>1595</v>
      </c>
      <c r="Y135" s="9" t="s">
        <v>46</v>
      </c>
      <c r="Z135" s="10">
        <v>1800</v>
      </c>
      <c r="AA135" s="9" t="s">
        <v>46</v>
      </c>
      <c r="AB135" s="9" t="s">
        <v>112</v>
      </c>
      <c r="AC135" s="9" t="s">
        <v>113</v>
      </c>
      <c r="AD135" s="9" t="s">
        <v>114</v>
      </c>
      <c r="AE135" s="10">
        <v>13</v>
      </c>
      <c r="AF135" s="10">
        <v>13</v>
      </c>
      <c r="AG135" s="10">
        <v>355</v>
      </c>
      <c r="AH135" s="10">
        <v>150</v>
      </c>
      <c r="AI135" s="10">
        <v>137</v>
      </c>
      <c r="AJ135" s="10">
        <v>342</v>
      </c>
      <c r="AK135" s="10">
        <v>239.5</v>
      </c>
      <c r="AL135" s="10">
        <v>-205</v>
      </c>
      <c r="AM135" s="9" t="s">
        <v>103</v>
      </c>
    </row>
    <row r="136" spans="1:39" ht="20" customHeight="1" x14ac:dyDescent="0.15">
      <c r="A136" s="7">
        <v>119207668</v>
      </c>
      <c r="B136" s="8">
        <v>62263064</v>
      </c>
      <c r="C136" s="9" t="s">
        <v>340</v>
      </c>
      <c r="D136" s="9" t="s">
        <v>341</v>
      </c>
      <c r="E136" s="9" t="s">
        <v>40</v>
      </c>
      <c r="F136" s="9" t="s">
        <v>41</v>
      </c>
      <c r="G136" s="9" t="s">
        <v>42</v>
      </c>
      <c r="H136" s="9" t="s">
        <v>58</v>
      </c>
      <c r="I136" s="10">
        <v>1</v>
      </c>
      <c r="J136" s="9" t="s">
        <v>44</v>
      </c>
      <c r="K136" s="9" t="s">
        <v>342</v>
      </c>
      <c r="L136" s="10">
        <v>-9.7793255000000006</v>
      </c>
      <c r="M136" s="10">
        <v>-139.00678350000001</v>
      </c>
      <c r="N136" s="10">
        <v>1937</v>
      </c>
      <c r="O136" s="9" t="s">
        <v>46</v>
      </c>
      <c r="P136" s="10">
        <v>1937</v>
      </c>
      <c r="Q136" s="9" t="s">
        <v>46</v>
      </c>
      <c r="R136" s="9" t="s">
        <v>47</v>
      </c>
      <c r="S136" s="9" t="s">
        <v>343</v>
      </c>
      <c r="T136" s="11"/>
      <c r="U136" s="9" t="s">
        <v>108</v>
      </c>
      <c r="V136" s="10">
        <v>-9.7793255000000006</v>
      </c>
      <c r="W136" s="10">
        <v>-139.00678350000001</v>
      </c>
      <c r="X136" s="10">
        <v>1595</v>
      </c>
      <c r="Y136" s="9" t="s">
        <v>46</v>
      </c>
      <c r="Z136" s="10">
        <v>1800</v>
      </c>
      <c r="AA136" s="9" t="s">
        <v>46</v>
      </c>
      <c r="AB136" s="9" t="s">
        <v>115</v>
      </c>
      <c r="AC136" s="9" t="s">
        <v>113</v>
      </c>
      <c r="AD136" s="9" t="s">
        <v>114</v>
      </c>
      <c r="AE136" s="10">
        <v>13</v>
      </c>
      <c r="AF136" s="10">
        <v>13</v>
      </c>
      <c r="AG136" s="10">
        <v>355</v>
      </c>
      <c r="AH136" s="10">
        <v>150</v>
      </c>
      <c r="AI136" s="10">
        <v>137</v>
      </c>
      <c r="AJ136" s="10">
        <v>342</v>
      </c>
      <c r="AK136" s="10">
        <v>239.5</v>
      </c>
      <c r="AL136" s="10">
        <v>-205</v>
      </c>
      <c r="AM136" s="9" t="s">
        <v>103</v>
      </c>
    </row>
    <row r="137" spans="1:39" ht="20" customHeight="1" x14ac:dyDescent="0.15">
      <c r="A137" s="7">
        <v>119207668</v>
      </c>
      <c r="B137" s="8">
        <v>62263064</v>
      </c>
      <c r="C137" s="9" t="s">
        <v>340</v>
      </c>
      <c r="D137" s="9" t="s">
        <v>341</v>
      </c>
      <c r="E137" s="9" t="s">
        <v>40</v>
      </c>
      <c r="F137" s="9" t="s">
        <v>41</v>
      </c>
      <c r="G137" s="9" t="s">
        <v>42</v>
      </c>
      <c r="H137" s="9" t="s">
        <v>59</v>
      </c>
      <c r="I137" s="10">
        <v>1</v>
      </c>
      <c r="J137" s="9" t="s">
        <v>44</v>
      </c>
      <c r="K137" s="9" t="s">
        <v>342</v>
      </c>
      <c r="L137" s="10">
        <v>-9.7793255000000006</v>
      </c>
      <c r="M137" s="10">
        <v>-139.00678350000001</v>
      </c>
      <c r="N137" s="10">
        <v>1937</v>
      </c>
      <c r="O137" s="9" t="s">
        <v>46</v>
      </c>
      <c r="P137" s="10">
        <v>1937</v>
      </c>
      <c r="Q137" s="9" t="s">
        <v>46</v>
      </c>
      <c r="R137" s="9" t="s">
        <v>47</v>
      </c>
      <c r="S137" s="9" t="s">
        <v>343</v>
      </c>
      <c r="T137" s="11"/>
      <c r="U137" s="9" t="s">
        <v>108</v>
      </c>
      <c r="V137" s="10">
        <v>-9.7793255000000006</v>
      </c>
      <c r="W137" s="10">
        <v>-139.00678350000001</v>
      </c>
      <c r="X137" s="10">
        <v>1595</v>
      </c>
      <c r="Y137" s="9" t="s">
        <v>46</v>
      </c>
      <c r="Z137" s="10">
        <v>1800</v>
      </c>
      <c r="AA137" s="9" t="s">
        <v>46</v>
      </c>
      <c r="AB137" s="9" t="s">
        <v>116</v>
      </c>
      <c r="AC137" s="9" t="s">
        <v>113</v>
      </c>
      <c r="AD137" s="9" t="s">
        <v>114</v>
      </c>
      <c r="AE137" s="10">
        <v>13</v>
      </c>
      <c r="AF137" s="10">
        <v>13</v>
      </c>
      <c r="AG137" s="10">
        <v>355</v>
      </c>
      <c r="AH137" s="10">
        <v>150</v>
      </c>
      <c r="AI137" s="10">
        <v>137</v>
      </c>
      <c r="AJ137" s="10">
        <v>342</v>
      </c>
      <c r="AK137" s="10">
        <v>239.5</v>
      </c>
      <c r="AL137" s="10">
        <v>-205</v>
      </c>
      <c r="AM137" s="9" t="s">
        <v>103</v>
      </c>
    </row>
    <row r="138" spans="1:39" ht="20" customHeight="1" x14ac:dyDescent="0.15">
      <c r="A138" s="7">
        <v>119207810</v>
      </c>
      <c r="B138" s="8">
        <v>62274163</v>
      </c>
      <c r="C138" s="9" t="s">
        <v>344</v>
      </c>
      <c r="D138" s="9" t="s">
        <v>345</v>
      </c>
      <c r="E138" s="9" t="s">
        <v>40</v>
      </c>
      <c r="F138" s="9" t="s">
        <v>41</v>
      </c>
      <c r="G138" s="9" t="s">
        <v>43</v>
      </c>
      <c r="H138" s="9" t="s">
        <v>43</v>
      </c>
      <c r="I138" s="10">
        <v>1</v>
      </c>
      <c r="J138" s="9" t="s">
        <v>44</v>
      </c>
      <c r="K138" s="9" t="s">
        <v>45</v>
      </c>
      <c r="L138" s="10">
        <v>-41.286499999999997</v>
      </c>
      <c r="M138" s="10">
        <v>174.77619999999999</v>
      </c>
      <c r="N138" s="10">
        <v>1601</v>
      </c>
      <c r="O138" s="9" t="s">
        <v>46</v>
      </c>
      <c r="P138" s="10">
        <v>1800</v>
      </c>
      <c r="Q138" s="9" t="s">
        <v>46</v>
      </c>
      <c r="R138" s="9" t="s">
        <v>47</v>
      </c>
      <c r="S138" s="9" t="s">
        <v>346</v>
      </c>
      <c r="T138" s="11"/>
      <c r="U138" s="9" t="s">
        <v>45</v>
      </c>
      <c r="V138" s="10">
        <v>-41.286499999999997</v>
      </c>
      <c r="W138" s="10">
        <v>174.77619999999999</v>
      </c>
      <c r="X138" s="10">
        <v>100</v>
      </c>
      <c r="Y138" s="9" t="s">
        <v>46</v>
      </c>
      <c r="Z138" s="10">
        <v>1200</v>
      </c>
      <c r="AA138" s="9" t="s">
        <v>46</v>
      </c>
      <c r="AB138" s="9" t="s">
        <v>196</v>
      </c>
      <c r="AC138" s="9" t="s">
        <v>197</v>
      </c>
      <c r="AD138" s="9" t="s">
        <v>198</v>
      </c>
      <c r="AE138" s="10">
        <v>349</v>
      </c>
      <c r="AF138" s="10">
        <v>150</v>
      </c>
      <c r="AG138" s="10">
        <v>1850</v>
      </c>
      <c r="AH138" s="10">
        <v>750</v>
      </c>
      <c r="AI138" s="10">
        <v>401</v>
      </c>
      <c r="AJ138" s="10">
        <v>1700</v>
      </c>
      <c r="AK138" s="10">
        <v>1050.5</v>
      </c>
      <c r="AL138" s="10">
        <v>-1299</v>
      </c>
      <c r="AM138" s="9" t="s">
        <v>103</v>
      </c>
    </row>
    <row r="139" spans="1:39" ht="20" customHeight="1" x14ac:dyDescent="0.15">
      <c r="A139" s="7">
        <v>119207810</v>
      </c>
      <c r="B139" s="8">
        <v>62274163</v>
      </c>
      <c r="C139" s="9" t="s">
        <v>344</v>
      </c>
      <c r="D139" s="9" t="s">
        <v>345</v>
      </c>
      <c r="E139" s="9" t="s">
        <v>40</v>
      </c>
      <c r="F139" s="9" t="s">
        <v>41</v>
      </c>
      <c r="G139" s="9" t="s">
        <v>43</v>
      </c>
      <c r="H139" s="9" t="s">
        <v>54</v>
      </c>
      <c r="I139" s="10">
        <v>0</v>
      </c>
      <c r="J139" s="9" t="s">
        <v>44</v>
      </c>
      <c r="K139" s="9" t="s">
        <v>45</v>
      </c>
      <c r="L139" s="10">
        <v>-41.286499999999997</v>
      </c>
      <c r="M139" s="10">
        <v>174.77619999999999</v>
      </c>
      <c r="N139" s="10">
        <v>1601</v>
      </c>
      <c r="O139" s="9" t="s">
        <v>46</v>
      </c>
      <c r="P139" s="10">
        <v>1800</v>
      </c>
      <c r="Q139" s="9" t="s">
        <v>46</v>
      </c>
      <c r="R139" s="9" t="s">
        <v>47</v>
      </c>
      <c r="S139" s="9" t="s">
        <v>346</v>
      </c>
      <c r="T139" s="11"/>
      <c r="U139" s="9" t="s">
        <v>45</v>
      </c>
      <c r="V139" s="10">
        <v>-41.286499999999997</v>
      </c>
      <c r="W139" s="10">
        <v>174.77619999999999</v>
      </c>
      <c r="X139" s="10">
        <v>1860</v>
      </c>
      <c r="Y139" s="9" t="s">
        <v>46</v>
      </c>
      <c r="Z139" s="10">
        <v>1860</v>
      </c>
      <c r="AA139" s="9" t="s">
        <v>46</v>
      </c>
      <c r="AB139" s="9" t="s">
        <v>55</v>
      </c>
      <c r="AC139" s="9" t="s">
        <v>56</v>
      </c>
      <c r="AD139" s="11"/>
      <c r="AE139" s="10">
        <v>349</v>
      </c>
      <c r="AF139" s="10">
        <v>150</v>
      </c>
      <c r="AG139" s="10">
        <v>90</v>
      </c>
      <c r="AH139" s="10">
        <v>90</v>
      </c>
      <c r="AI139" s="10">
        <v>-259</v>
      </c>
      <c r="AJ139" s="10">
        <v>-60</v>
      </c>
      <c r="AK139" s="10">
        <v>-159.5</v>
      </c>
      <c r="AL139" s="10">
        <v>-199</v>
      </c>
      <c r="AM139" s="9" t="s">
        <v>86</v>
      </c>
    </row>
    <row r="140" spans="1:39" ht="20" customHeight="1" x14ac:dyDescent="0.15">
      <c r="A140" s="7">
        <v>119207810</v>
      </c>
      <c r="B140" s="8">
        <v>62274163</v>
      </c>
      <c r="C140" s="9" t="s">
        <v>344</v>
      </c>
      <c r="D140" s="9" t="s">
        <v>345</v>
      </c>
      <c r="E140" s="9" t="s">
        <v>40</v>
      </c>
      <c r="F140" s="9" t="s">
        <v>41</v>
      </c>
      <c r="G140" s="9" t="s">
        <v>43</v>
      </c>
      <c r="H140" s="9" t="s">
        <v>58</v>
      </c>
      <c r="I140" s="10">
        <v>0</v>
      </c>
      <c r="J140" s="9" t="s">
        <v>44</v>
      </c>
      <c r="K140" s="9" t="s">
        <v>45</v>
      </c>
      <c r="L140" s="10">
        <v>-41.286499999999997</v>
      </c>
      <c r="M140" s="10">
        <v>174.77619999999999</v>
      </c>
      <c r="N140" s="10">
        <v>1601</v>
      </c>
      <c r="O140" s="9" t="s">
        <v>46</v>
      </c>
      <c r="P140" s="10">
        <v>1800</v>
      </c>
      <c r="Q140" s="9" t="s">
        <v>46</v>
      </c>
      <c r="R140" s="9" t="s">
        <v>47</v>
      </c>
      <c r="S140" s="9" t="s">
        <v>346</v>
      </c>
      <c r="T140" s="11"/>
      <c r="U140" s="9" t="s">
        <v>45</v>
      </c>
      <c r="V140" s="10">
        <v>-41.286499999999997</v>
      </c>
      <c r="W140" s="10">
        <v>174.77619999999999</v>
      </c>
      <c r="X140" s="10">
        <v>1790</v>
      </c>
      <c r="Y140" s="9" t="s">
        <v>46</v>
      </c>
      <c r="Z140" s="10">
        <v>1790</v>
      </c>
      <c r="AA140" s="9" t="s">
        <v>46</v>
      </c>
      <c r="AB140" s="9" t="s">
        <v>55</v>
      </c>
      <c r="AC140" s="9" t="s">
        <v>56</v>
      </c>
      <c r="AD140" s="11"/>
      <c r="AE140" s="10">
        <v>349</v>
      </c>
      <c r="AF140" s="10">
        <v>150</v>
      </c>
      <c r="AG140" s="10">
        <v>160</v>
      </c>
      <c r="AH140" s="10">
        <v>160</v>
      </c>
      <c r="AI140" s="10">
        <v>-189</v>
      </c>
      <c r="AJ140" s="10">
        <v>10</v>
      </c>
      <c r="AK140" s="10">
        <v>-89.5</v>
      </c>
      <c r="AL140" s="10">
        <v>-199</v>
      </c>
      <c r="AM140" s="9" t="s">
        <v>128</v>
      </c>
    </row>
    <row r="141" spans="1:39" ht="20" customHeight="1" x14ac:dyDescent="0.15">
      <c r="A141" s="7">
        <v>119207810</v>
      </c>
      <c r="B141" s="8">
        <v>62274163</v>
      </c>
      <c r="C141" s="9" t="s">
        <v>344</v>
      </c>
      <c r="D141" s="9" t="s">
        <v>345</v>
      </c>
      <c r="E141" s="9" t="s">
        <v>40</v>
      </c>
      <c r="F141" s="9" t="s">
        <v>41</v>
      </c>
      <c r="G141" s="9" t="s">
        <v>43</v>
      </c>
      <c r="H141" s="9" t="s">
        <v>59</v>
      </c>
      <c r="I141" s="10">
        <v>0</v>
      </c>
      <c r="J141" s="9" t="s">
        <v>44</v>
      </c>
      <c r="K141" s="9" t="s">
        <v>45</v>
      </c>
      <c r="L141" s="10">
        <v>-41.286499999999997</v>
      </c>
      <c r="M141" s="10">
        <v>174.77619999999999</v>
      </c>
      <c r="N141" s="10">
        <v>1601</v>
      </c>
      <c r="O141" s="9" t="s">
        <v>46</v>
      </c>
      <c r="P141" s="10">
        <v>1800</v>
      </c>
      <c r="Q141" s="9" t="s">
        <v>46</v>
      </c>
      <c r="R141" s="9" t="s">
        <v>47</v>
      </c>
      <c r="S141" s="9" t="s">
        <v>346</v>
      </c>
      <c r="T141" s="11"/>
      <c r="U141" s="9" t="s">
        <v>45</v>
      </c>
      <c r="V141" s="10">
        <v>-41.286499999999997</v>
      </c>
      <c r="W141" s="10">
        <v>174.77619999999999</v>
      </c>
      <c r="X141" s="10">
        <v>1824</v>
      </c>
      <c r="Y141" s="9" t="s">
        <v>46</v>
      </c>
      <c r="Z141" s="10">
        <v>1824</v>
      </c>
      <c r="AA141" s="9" t="s">
        <v>46</v>
      </c>
      <c r="AB141" s="9" t="s">
        <v>55</v>
      </c>
      <c r="AC141" s="9" t="s">
        <v>56</v>
      </c>
      <c r="AD141" s="11"/>
      <c r="AE141" s="10">
        <v>349</v>
      </c>
      <c r="AF141" s="10">
        <v>150</v>
      </c>
      <c r="AG141" s="10">
        <v>126</v>
      </c>
      <c r="AH141" s="10">
        <v>126</v>
      </c>
      <c r="AI141" s="10">
        <v>-223</v>
      </c>
      <c r="AJ141" s="10">
        <v>-24</v>
      </c>
      <c r="AK141" s="10">
        <v>-123.5</v>
      </c>
      <c r="AL141" s="10">
        <v>-199</v>
      </c>
      <c r="AM141" s="9" t="s">
        <v>86</v>
      </c>
    </row>
    <row r="142" spans="1:39" ht="20" customHeight="1" x14ac:dyDescent="0.15">
      <c r="A142" s="7">
        <v>119208101</v>
      </c>
      <c r="B142" s="8">
        <v>62289108</v>
      </c>
      <c r="C142" s="9" t="s">
        <v>347</v>
      </c>
      <c r="D142" s="9" t="s">
        <v>348</v>
      </c>
      <c r="E142" s="9" t="s">
        <v>40</v>
      </c>
      <c r="F142" s="9" t="s">
        <v>41</v>
      </c>
      <c r="G142" s="9" t="s">
        <v>42</v>
      </c>
      <c r="H142" s="9" t="s">
        <v>43</v>
      </c>
      <c r="I142" s="10">
        <v>1</v>
      </c>
      <c r="J142" s="9" t="s">
        <v>44</v>
      </c>
      <c r="K142" s="9" t="s">
        <v>349</v>
      </c>
      <c r="L142" s="10">
        <v>1.883494</v>
      </c>
      <c r="M142" s="10">
        <v>-157.392931</v>
      </c>
      <c r="N142" s="10">
        <v>1850</v>
      </c>
      <c r="O142" s="9" t="s">
        <v>46</v>
      </c>
      <c r="P142" s="10">
        <v>1859</v>
      </c>
      <c r="Q142" s="9" t="s">
        <v>46</v>
      </c>
      <c r="R142" s="9" t="s">
        <v>47</v>
      </c>
      <c r="S142" s="9" t="s">
        <v>350</v>
      </c>
      <c r="T142" s="11"/>
      <c r="U142" s="9" t="s">
        <v>349</v>
      </c>
      <c r="V142" s="10">
        <v>1.883494</v>
      </c>
      <c r="W142" s="10">
        <v>-157.392931</v>
      </c>
      <c r="X142" s="10">
        <v>1200</v>
      </c>
      <c r="Y142" s="9" t="s">
        <v>46</v>
      </c>
      <c r="Z142" s="10">
        <v>1600</v>
      </c>
      <c r="AA142" s="9" t="s">
        <v>46</v>
      </c>
      <c r="AB142" s="9" t="s">
        <v>351</v>
      </c>
      <c r="AC142" s="9" t="s">
        <v>352</v>
      </c>
      <c r="AD142" s="11"/>
      <c r="AE142" s="10">
        <v>100</v>
      </c>
      <c r="AF142" s="10">
        <v>91</v>
      </c>
      <c r="AG142" s="10">
        <v>750</v>
      </c>
      <c r="AH142" s="10">
        <v>350</v>
      </c>
      <c r="AI142" s="10">
        <v>250</v>
      </c>
      <c r="AJ142" s="10">
        <v>659</v>
      </c>
      <c r="AK142" s="10">
        <v>454.5</v>
      </c>
      <c r="AL142" s="10">
        <v>-409</v>
      </c>
      <c r="AM142" s="9" t="s">
        <v>103</v>
      </c>
    </row>
    <row r="143" spans="1:39" ht="20" customHeight="1" x14ac:dyDescent="0.15">
      <c r="A143" s="7">
        <v>119208101</v>
      </c>
      <c r="B143" s="8">
        <v>62289108</v>
      </c>
      <c r="C143" s="9" t="s">
        <v>347</v>
      </c>
      <c r="D143" s="9" t="s">
        <v>348</v>
      </c>
      <c r="E143" s="9" t="s">
        <v>40</v>
      </c>
      <c r="F143" s="9" t="s">
        <v>41</v>
      </c>
      <c r="G143" s="9" t="s">
        <v>42</v>
      </c>
      <c r="H143" s="9" t="s">
        <v>54</v>
      </c>
      <c r="I143" s="10">
        <v>1</v>
      </c>
      <c r="J143" s="9" t="s">
        <v>44</v>
      </c>
      <c r="K143" s="9" t="s">
        <v>349</v>
      </c>
      <c r="L143" s="10">
        <v>1.883494</v>
      </c>
      <c r="M143" s="10">
        <v>-157.392931</v>
      </c>
      <c r="N143" s="10">
        <v>1850</v>
      </c>
      <c r="O143" s="9" t="s">
        <v>46</v>
      </c>
      <c r="P143" s="10">
        <v>1859</v>
      </c>
      <c r="Q143" s="9" t="s">
        <v>46</v>
      </c>
      <c r="R143" s="9" t="s">
        <v>47</v>
      </c>
      <c r="S143" s="9" t="s">
        <v>350</v>
      </c>
      <c r="T143" s="11"/>
      <c r="U143" s="9" t="s">
        <v>349</v>
      </c>
      <c r="V143" s="10">
        <v>1.883494</v>
      </c>
      <c r="W143" s="10">
        <v>-157.392931</v>
      </c>
      <c r="X143" s="16">
        <v>1981</v>
      </c>
      <c r="Y143" s="17" t="s">
        <v>46</v>
      </c>
      <c r="Z143" s="16">
        <v>1981</v>
      </c>
      <c r="AA143" s="17" t="s">
        <v>46</v>
      </c>
      <c r="AB143" s="9" t="s">
        <v>353</v>
      </c>
      <c r="AC143" s="13" t="s">
        <v>354</v>
      </c>
      <c r="AD143" s="11"/>
      <c r="AE143" s="10">
        <v>100</v>
      </c>
      <c r="AF143" s="10">
        <v>91</v>
      </c>
      <c r="AG143" s="10">
        <v>-31</v>
      </c>
      <c r="AH143" s="10">
        <v>-31</v>
      </c>
      <c r="AI143" s="16">
        <f>AH143-AE143</f>
        <v>-131</v>
      </c>
      <c r="AJ143" s="16">
        <f>AG143-AF143</f>
        <v>-122</v>
      </c>
      <c r="AK143" s="10">
        <v>-60.5</v>
      </c>
      <c r="AL143" s="10">
        <v>-9</v>
      </c>
      <c r="AM143" s="9" t="s">
        <v>86</v>
      </c>
    </row>
    <row r="144" spans="1:39" ht="20" customHeight="1" x14ac:dyDescent="0.15">
      <c r="A144" s="7">
        <v>119211257</v>
      </c>
      <c r="B144" s="8">
        <v>103682916</v>
      </c>
      <c r="C144" s="9" t="s">
        <v>355</v>
      </c>
      <c r="D144" s="9" t="s">
        <v>356</v>
      </c>
      <c r="E144" s="9" t="s">
        <v>40</v>
      </c>
      <c r="F144" s="9" t="s">
        <v>41</v>
      </c>
      <c r="G144" s="9" t="s">
        <v>42</v>
      </c>
      <c r="H144" s="9" t="s">
        <v>54</v>
      </c>
      <c r="I144" s="10">
        <v>1</v>
      </c>
      <c r="J144" s="9" t="s">
        <v>44</v>
      </c>
      <c r="K144" s="9" t="s">
        <v>357</v>
      </c>
      <c r="L144" s="10">
        <v>-0.85056500000000002</v>
      </c>
      <c r="M144" s="10">
        <v>-89.441511000000006</v>
      </c>
      <c r="N144" s="10">
        <v>1980</v>
      </c>
      <c r="O144" s="9" t="s">
        <v>46</v>
      </c>
      <c r="P144" s="10">
        <v>1989</v>
      </c>
      <c r="Q144" s="9" t="s">
        <v>46</v>
      </c>
      <c r="R144" s="9" t="s">
        <v>47</v>
      </c>
      <c r="S144" s="9" t="s">
        <v>358</v>
      </c>
      <c r="T144" s="11"/>
      <c r="U144" s="9" t="s">
        <v>357</v>
      </c>
      <c r="V144" s="10">
        <v>-0.85056500000000002</v>
      </c>
      <c r="W144" s="10">
        <v>-89.441511000000006</v>
      </c>
      <c r="X144" s="10">
        <v>1800</v>
      </c>
      <c r="Y144" s="9" t="s">
        <v>46</v>
      </c>
      <c r="Z144" s="10">
        <v>1899</v>
      </c>
      <c r="AA144" s="9" t="s">
        <v>46</v>
      </c>
      <c r="AB144" s="9" t="s">
        <v>359</v>
      </c>
      <c r="AC144" s="9" t="s">
        <v>360</v>
      </c>
      <c r="AD144" s="11"/>
      <c r="AE144" s="10">
        <v>-30</v>
      </c>
      <c r="AF144" s="10">
        <v>-39</v>
      </c>
      <c r="AG144" s="10">
        <v>150</v>
      </c>
      <c r="AH144" s="10">
        <v>51</v>
      </c>
      <c r="AI144" s="10">
        <v>81</v>
      </c>
      <c r="AJ144" s="10">
        <v>189</v>
      </c>
      <c r="AK144" s="10">
        <v>135</v>
      </c>
      <c r="AL144" s="10">
        <v>-108</v>
      </c>
      <c r="AM144" s="9" t="s">
        <v>57</v>
      </c>
    </row>
    <row r="145" spans="1:39" ht="20" customHeight="1" x14ac:dyDescent="0.15">
      <c r="A145" s="7">
        <v>119211257</v>
      </c>
      <c r="B145" s="8">
        <v>103682916</v>
      </c>
      <c r="C145" s="9" t="s">
        <v>355</v>
      </c>
      <c r="D145" s="9" t="s">
        <v>356</v>
      </c>
      <c r="E145" s="9" t="s">
        <v>40</v>
      </c>
      <c r="F145" s="9" t="s">
        <v>41</v>
      </c>
      <c r="G145" s="9" t="s">
        <v>42</v>
      </c>
      <c r="H145" s="9" t="s">
        <v>58</v>
      </c>
      <c r="I145" s="10">
        <v>1</v>
      </c>
      <c r="J145" s="9" t="s">
        <v>44</v>
      </c>
      <c r="K145" s="9" t="s">
        <v>357</v>
      </c>
      <c r="L145" s="10">
        <v>-0.85056500000000002</v>
      </c>
      <c r="M145" s="10">
        <v>-89.441511000000006</v>
      </c>
      <c r="N145" s="10">
        <v>1980</v>
      </c>
      <c r="O145" s="9" t="s">
        <v>46</v>
      </c>
      <c r="P145" s="10">
        <v>1989</v>
      </c>
      <c r="Q145" s="9" t="s">
        <v>46</v>
      </c>
      <c r="R145" s="9" t="s">
        <v>47</v>
      </c>
      <c r="S145" s="9" t="s">
        <v>358</v>
      </c>
      <c r="T145" s="11"/>
      <c r="U145" s="9" t="s">
        <v>361</v>
      </c>
      <c r="V145" s="10">
        <v>-0.63004499999999997</v>
      </c>
      <c r="W145" s="10">
        <v>-90.349767999999997</v>
      </c>
      <c r="X145" s="10">
        <v>1982</v>
      </c>
      <c r="Y145" s="9" t="s">
        <v>46</v>
      </c>
      <c r="Z145" s="10">
        <v>1984</v>
      </c>
      <c r="AA145" s="9" t="s">
        <v>46</v>
      </c>
      <c r="AB145" s="9" t="s">
        <v>359</v>
      </c>
      <c r="AC145" s="9" t="s">
        <v>362</v>
      </c>
      <c r="AD145" s="11"/>
      <c r="AE145" s="10">
        <v>-30</v>
      </c>
      <c r="AF145" s="10">
        <v>-39</v>
      </c>
      <c r="AG145" s="10">
        <v>-32</v>
      </c>
      <c r="AH145" s="10">
        <v>-34</v>
      </c>
      <c r="AI145" s="10">
        <v>-4</v>
      </c>
      <c r="AJ145" s="10">
        <v>7</v>
      </c>
      <c r="AK145" s="10">
        <v>1.5</v>
      </c>
      <c r="AL145" s="10">
        <v>-11</v>
      </c>
      <c r="AM145" s="9" t="s">
        <v>128</v>
      </c>
    </row>
    <row r="146" spans="1:39" ht="20" customHeight="1" x14ac:dyDescent="0.15">
      <c r="A146" s="7">
        <v>119211257</v>
      </c>
      <c r="B146" s="8">
        <v>103682916</v>
      </c>
      <c r="C146" s="9" t="s">
        <v>355</v>
      </c>
      <c r="D146" s="9" t="s">
        <v>356</v>
      </c>
      <c r="E146" s="9" t="s">
        <v>40</v>
      </c>
      <c r="F146" s="9" t="s">
        <v>41</v>
      </c>
      <c r="G146" s="9" t="s">
        <v>42</v>
      </c>
      <c r="H146" s="9" t="s">
        <v>59</v>
      </c>
      <c r="I146" s="10">
        <v>0</v>
      </c>
      <c r="J146" s="9" t="s">
        <v>44</v>
      </c>
      <c r="K146" s="9" t="s">
        <v>357</v>
      </c>
      <c r="L146" s="10">
        <v>-0.85056500000000002</v>
      </c>
      <c r="M146" s="10">
        <v>-89.441511000000006</v>
      </c>
      <c r="N146" s="10">
        <v>1980</v>
      </c>
      <c r="O146" s="9" t="s">
        <v>46</v>
      </c>
      <c r="P146" s="10">
        <v>1989</v>
      </c>
      <c r="Q146" s="9" t="s">
        <v>46</v>
      </c>
      <c r="R146" s="9" t="s">
        <v>47</v>
      </c>
      <c r="S146" s="9" t="s">
        <v>358</v>
      </c>
      <c r="T146" s="11"/>
      <c r="U146" s="9" t="s">
        <v>357</v>
      </c>
      <c r="V146" s="10">
        <v>-0.85056500000000002</v>
      </c>
      <c r="W146" s="10">
        <v>-89.441511000000006</v>
      </c>
      <c r="X146" s="10">
        <v>1800</v>
      </c>
      <c r="Y146" s="9" t="s">
        <v>46</v>
      </c>
      <c r="Z146" s="10">
        <v>1940</v>
      </c>
      <c r="AA146" s="9" t="s">
        <v>46</v>
      </c>
      <c r="AB146" s="9" t="s">
        <v>359</v>
      </c>
      <c r="AC146" s="9" t="s">
        <v>363</v>
      </c>
      <c r="AD146" s="11"/>
      <c r="AE146" s="10">
        <v>-30</v>
      </c>
      <c r="AF146" s="10">
        <v>-39</v>
      </c>
      <c r="AG146" s="10">
        <v>150</v>
      </c>
      <c r="AH146" s="10">
        <v>10</v>
      </c>
      <c r="AI146" s="10">
        <v>40</v>
      </c>
      <c r="AJ146" s="10">
        <v>189</v>
      </c>
      <c r="AK146" s="10">
        <v>114.5</v>
      </c>
      <c r="AL146" s="10">
        <v>-149</v>
      </c>
      <c r="AM146" s="9" t="s">
        <v>57</v>
      </c>
    </row>
    <row r="147" spans="1:39" ht="20" customHeight="1" x14ac:dyDescent="0.15">
      <c r="A147" s="7">
        <v>119212332</v>
      </c>
      <c r="B147" s="8">
        <v>22734867</v>
      </c>
      <c r="C147" s="9" t="s">
        <v>364</v>
      </c>
      <c r="D147" s="9" t="s">
        <v>365</v>
      </c>
      <c r="E147" s="9" t="s">
        <v>366</v>
      </c>
      <c r="F147" s="9" t="s">
        <v>41</v>
      </c>
      <c r="G147" s="9" t="s">
        <v>58</v>
      </c>
      <c r="H147" s="9" t="s">
        <v>43</v>
      </c>
      <c r="I147" s="10">
        <v>0</v>
      </c>
      <c r="J147" s="9" t="s">
        <v>44</v>
      </c>
      <c r="K147" s="9" t="s">
        <v>367</v>
      </c>
      <c r="L147" s="10">
        <v>-16.819398400000001</v>
      </c>
      <c r="M147" s="10">
        <v>-151.4483907</v>
      </c>
      <c r="N147" s="10">
        <v>1774</v>
      </c>
      <c r="O147" s="9" t="s">
        <v>46</v>
      </c>
      <c r="P147" s="10">
        <v>1850</v>
      </c>
      <c r="Q147" s="9" t="s">
        <v>46</v>
      </c>
      <c r="R147" s="9" t="s">
        <v>47</v>
      </c>
      <c r="S147" s="9" t="s">
        <v>368</v>
      </c>
      <c r="T147" s="11"/>
      <c r="U147" s="9" t="s">
        <v>122</v>
      </c>
      <c r="V147" s="10">
        <v>-17.687343899999998</v>
      </c>
      <c r="W147" s="10">
        <v>-149.44516809999999</v>
      </c>
      <c r="X147" s="10">
        <v>520</v>
      </c>
      <c r="Y147" s="9" t="s">
        <v>72</v>
      </c>
      <c r="Z147" s="10">
        <v>640</v>
      </c>
      <c r="AA147" s="9" t="s">
        <v>72</v>
      </c>
      <c r="AB147" s="9" t="s">
        <v>124</v>
      </c>
      <c r="AC147" s="9" t="s">
        <v>125</v>
      </c>
      <c r="AD147" s="9" t="s">
        <v>126</v>
      </c>
      <c r="AE147" s="10">
        <v>176</v>
      </c>
      <c r="AF147" s="10">
        <v>100</v>
      </c>
      <c r="AG147" s="10">
        <v>520</v>
      </c>
      <c r="AH147" s="10">
        <v>640</v>
      </c>
      <c r="AI147" s="10">
        <v>464</v>
      </c>
      <c r="AJ147" s="10">
        <v>420</v>
      </c>
      <c r="AK147" s="10">
        <v>442</v>
      </c>
      <c r="AL147" s="10">
        <v>44</v>
      </c>
      <c r="AM147" s="9" t="s">
        <v>103</v>
      </c>
    </row>
    <row r="148" spans="1:39" ht="20" customHeight="1" x14ac:dyDescent="0.15">
      <c r="A148" s="7">
        <v>119212332</v>
      </c>
      <c r="B148" s="8">
        <v>22734867</v>
      </c>
      <c r="C148" s="9" t="s">
        <v>364</v>
      </c>
      <c r="D148" s="9" t="s">
        <v>365</v>
      </c>
      <c r="E148" s="9" t="s">
        <v>366</v>
      </c>
      <c r="F148" s="9" t="s">
        <v>41</v>
      </c>
      <c r="G148" s="9" t="s">
        <v>58</v>
      </c>
      <c r="H148" s="9" t="s">
        <v>58</v>
      </c>
      <c r="I148" s="10">
        <v>1</v>
      </c>
      <c r="J148" s="9" t="s">
        <v>44</v>
      </c>
      <c r="K148" s="9" t="s">
        <v>367</v>
      </c>
      <c r="L148" s="10">
        <v>-16.819398400000001</v>
      </c>
      <c r="M148" s="10">
        <v>-151.4483907</v>
      </c>
      <c r="N148" s="10">
        <v>1774</v>
      </c>
      <c r="O148" s="9" t="s">
        <v>46</v>
      </c>
      <c r="P148" s="10">
        <v>1850</v>
      </c>
      <c r="Q148" s="9" t="s">
        <v>46</v>
      </c>
      <c r="R148" s="9" t="s">
        <v>47</v>
      </c>
      <c r="S148" s="9" t="s">
        <v>368</v>
      </c>
      <c r="T148" s="11"/>
      <c r="U148" s="9" t="s">
        <v>122</v>
      </c>
      <c r="V148" s="10">
        <v>-17.687343899999998</v>
      </c>
      <c r="W148" s="10">
        <v>-149.44516809999999</v>
      </c>
      <c r="X148" s="10">
        <v>1768</v>
      </c>
      <c r="Y148" s="9" t="s">
        <v>46</v>
      </c>
      <c r="Z148" s="10">
        <v>1919</v>
      </c>
      <c r="AA148" s="9" t="s">
        <v>46</v>
      </c>
      <c r="AB148" s="9" t="s">
        <v>124</v>
      </c>
      <c r="AC148" s="9" t="s">
        <v>127</v>
      </c>
      <c r="AD148" s="9" t="s">
        <v>126</v>
      </c>
      <c r="AE148" s="10">
        <v>176</v>
      </c>
      <c r="AF148" s="10">
        <v>100</v>
      </c>
      <c r="AG148" s="10">
        <v>182</v>
      </c>
      <c r="AH148" s="10">
        <v>31</v>
      </c>
      <c r="AI148" s="10">
        <v>-145</v>
      </c>
      <c r="AJ148" s="10">
        <v>82</v>
      </c>
      <c r="AK148" s="10">
        <v>-31.5</v>
      </c>
      <c r="AL148" s="10">
        <v>-227</v>
      </c>
      <c r="AM148" s="9" t="s">
        <v>128</v>
      </c>
    </row>
    <row r="149" spans="1:39" ht="20" customHeight="1" x14ac:dyDescent="0.15">
      <c r="A149" s="7">
        <v>119212332</v>
      </c>
      <c r="B149" s="8">
        <v>22734867</v>
      </c>
      <c r="C149" s="9" t="s">
        <v>364</v>
      </c>
      <c r="D149" s="9" t="s">
        <v>365</v>
      </c>
      <c r="E149" s="9" t="s">
        <v>366</v>
      </c>
      <c r="F149" s="9" t="s">
        <v>41</v>
      </c>
      <c r="G149" s="9" t="s">
        <v>58</v>
      </c>
      <c r="H149" s="9" t="s">
        <v>54</v>
      </c>
      <c r="I149" s="10">
        <v>0</v>
      </c>
      <c r="J149" s="9" t="s">
        <v>44</v>
      </c>
      <c r="K149" s="9" t="s">
        <v>367</v>
      </c>
      <c r="L149" s="10">
        <v>-16.819398400000001</v>
      </c>
      <c r="M149" s="10">
        <v>-151.4483907</v>
      </c>
      <c r="N149" s="10">
        <v>1774</v>
      </c>
      <c r="O149" s="9" t="s">
        <v>46</v>
      </c>
      <c r="P149" s="10">
        <v>1850</v>
      </c>
      <c r="Q149" s="9" t="s">
        <v>46</v>
      </c>
      <c r="R149" s="9" t="s">
        <v>47</v>
      </c>
      <c r="S149" s="9" t="s">
        <v>368</v>
      </c>
      <c r="T149" s="11"/>
      <c r="U149" s="9" t="s">
        <v>122</v>
      </c>
      <c r="V149" s="10">
        <v>-17.687343899999998</v>
      </c>
      <c r="W149" s="10">
        <v>-149.44516809999999</v>
      </c>
      <c r="X149" s="10">
        <v>1767</v>
      </c>
      <c r="Y149" s="9" t="s">
        <v>46</v>
      </c>
      <c r="Z149" s="10">
        <v>1923</v>
      </c>
      <c r="AA149" s="9" t="s">
        <v>46</v>
      </c>
      <c r="AB149" s="9" t="s">
        <v>124</v>
      </c>
      <c r="AC149" s="9" t="s">
        <v>129</v>
      </c>
      <c r="AD149" s="9" t="s">
        <v>126</v>
      </c>
      <c r="AE149" s="10">
        <v>176</v>
      </c>
      <c r="AF149" s="10">
        <v>100</v>
      </c>
      <c r="AG149" s="10">
        <v>183</v>
      </c>
      <c r="AH149" s="10">
        <v>27</v>
      </c>
      <c r="AI149" s="10">
        <v>-149</v>
      </c>
      <c r="AJ149" s="10">
        <v>83</v>
      </c>
      <c r="AK149" s="10">
        <v>-33</v>
      </c>
      <c r="AL149" s="10">
        <v>-232</v>
      </c>
      <c r="AM149" s="9" t="s">
        <v>128</v>
      </c>
    </row>
    <row r="150" spans="1:39" ht="20" customHeight="1" x14ac:dyDescent="0.15">
      <c r="A150" s="7">
        <v>119260576</v>
      </c>
      <c r="B150" s="8">
        <v>22728712</v>
      </c>
      <c r="C150" s="9" t="s">
        <v>369</v>
      </c>
      <c r="D150" s="9" t="s">
        <v>370</v>
      </c>
      <c r="E150" s="9" t="s">
        <v>371</v>
      </c>
      <c r="F150" s="9" t="s">
        <v>41</v>
      </c>
      <c r="G150" s="9" t="s">
        <v>42</v>
      </c>
      <c r="H150" s="9" t="s">
        <v>54</v>
      </c>
      <c r="I150" s="10">
        <v>1</v>
      </c>
      <c r="J150" s="9" t="s">
        <v>44</v>
      </c>
      <c r="K150" s="9" t="s">
        <v>337</v>
      </c>
      <c r="L150" s="10">
        <v>-21.1307379</v>
      </c>
      <c r="M150" s="10">
        <v>55.536480099999999</v>
      </c>
      <c r="N150" s="10">
        <v>1674</v>
      </c>
      <c r="O150" s="9" t="s">
        <v>46</v>
      </c>
      <c r="P150" s="10">
        <v>1725</v>
      </c>
      <c r="Q150" s="9" t="s">
        <v>46</v>
      </c>
      <c r="R150" s="9" t="s">
        <v>47</v>
      </c>
      <c r="S150" s="9" t="s">
        <v>372</v>
      </c>
      <c r="T150" s="11"/>
      <c r="U150" s="9" t="s">
        <v>337</v>
      </c>
      <c r="V150" s="10">
        <v>-21.1307379</v>
      </c>
      <c r="W150" s="10">
        <v>55.536480099999999</v>
      </c>
      <c r="X150" s="10">
        <v>1670</v>
      </c>
      <c r="Y150" s="9" t="s">
        <v>46</v>
      </c>
      <c r="Z150" s="10">
        <v>1670</v>
      </c>
      <c r="AA150" s="9" t="s">
        <v>46</v>
      </c>
      <c r="AB150" s="9" t="s">
        <v>318</v>
      </c>
      <c r="AC150" s="9" t="s">
        <v>339</v>
      </c>
      <c r="AD150" s="11"/>
      <c r="AE150" s="10">
        <v>276</v>
      </c>
      <c r="AF150" s="10">
        <v>225</v>
      </c>
      <c r="AG150" s="10">
        <v>280</v>
      </c>
      <c r="AH150" s="10">
        <v>280</v>
      </c>
      <c r="AI150" s="10">
        <v>4</v>
      </c>
      <c r="AJ150" s="10">
        <v>55</v>
      </c>
      <c r="AK150" s="10">
        <v>29.5</v>
      </c>
      <c r="AL150" s="10">
        <v>-51</v>
      </c>
      <c r="AM150" s="9" t="s">
        <v>57</v>
      </c>
    </row>
    <row r="151" spans="1:39" ht="20" customHeight="1" x14ac:dyDescent="0.15">
      <c r="A151" s="7">
        <v>119260576</v>
      </c>
      <c r="B151" s="8">
        <v>22728712</v>
      </c>
      <c r="C151" s="9" t="s">
        <v>369</v>
      </c>
      <c r="D151" s="9" t="s">
        <v>370</v>
      </c>
      <c r="E151" s="9" t="s">
        <v>371</v>
      </c>
      <c r="F151" s="9" t="s">
        <v>41</v>
      </c>
      <c r="G151" s="9" t="s">
        <v>42</v>
      </c>
      <c r="H151" s="9" t="s">
        <v>58</v>
      </c>
      <c r="I151" s="10">
        <v>1</v>
      </c>
      <c r="J151" s="9" t="s">
        <v>44</v>
      </c>
      <c r="K151" s="9" t="s">
        <v>337</v>
      </c>
      <c r="L151" s="10">
        <v>-21.1307379</v>
      </c>
      <c r="M151" s="10">
        <v>55.536480099999999</v>
      </c>
      <c r="N151" s="10">
        <v>1674</v>
      </c>
      <c r="O151" s="9" t="s">
        <v>46</v>
      </c>
      <c r="P151" s="10">
        <v>1725</v>
      </c>
      <c r="Q151" s="9" t="s">
        <v>46</v>
      </c>
      <c r="R151" s="9" t="s">
        <v>47</v>
      </c>
      <c r="S151" s="9" t="s">
        <v>372</v>
      </c>
      <c r="T151" s="11"/>
      <c r="U151" s="9" t="s">
        <v>337</v>
      </c>
      <c r="V151" s="10">
        <v>-21.1307379</v>
      </c>
      <c r="W151" s="10">
        <v>55.536480099999999</v>
      </c>
      <c r="X151" s="10">
        <v>1735</v>
      </c>
      <c r="Y151" s="9" t="s">
        <v>46</v>
      </c>
      <c r="Z151" s="10">
        <v>1735</v>
      </c>
      <c r="AA151" s="9" t="s">
        <v>46</v>
      </c>
      <c r="AB151" s="9" t="s">
        <v>318</v>
      </c>
      <c r="AC151" s="9" t="s">
        <v>321</v>
      </c>
      <c r="AD151" s="11"/>
      <c r="AE151" s="10">
        <v>276</v>
      </c>
      <c r="AF151" s="10">
        <v>225</v>
      </c>
      <c r="AG151" s="10">
        <v>215</v>
      </c>
      <c r="AH151" s="10">
        <v>215</v>
      </c>
      <c r="AI151" s="10">
        <v>-61</v>
      </c>
      <c r="AJ151" s="10">
        <v>-10</v>
      </c>
      <c r="AK151" s="10">
        <v>-35.5</v>
      </c>
      <c r="AL151" s="10">
        <v>-51</v>
      </c>
      <c r="AM151" s="9" t="s">
        <v>86</v>
      </c>
    </row>
    <row r="152" spans="1:39" ht="20" customHeight="1" x14ac:dyDescent="0.15">
      <c r="A152" s="7">
        <v>119548740</v>
      </c>
      <c r="B152" s="8">
        <v>103780109</v>
      </c>
      <c r="C152" s="9" t="s">
        <v>373</v>
      </c>
      <c r="D152" s="9" t="s">
        <v>374</v>
      </c>
      <c r="E152" s="9" t="s">
        <v>40</v>
      </c>
      <c r="F152" s="9" t="s">
        <v>41</v>
      </c>
      <c r="G152" s="9" t="s">
        <v>42</v>
      </c>
      <c r="H152" s="9" t="s">
        <v>43</v>
      </c>
      <c r="I152" s="10">
        <v>1</v>
      </c>
      <c r="J152" s="9" t="s">
        <v>44</v>
      </c>
      <c r="K152" s="9" t="s">
        <v>375</v>
      </c>
      <c r="L152" s="10">
        <v>14.853567</v>
      </c>
      <c r="M152" s="10">
        <v>145.5586874</v>
      </c>
      <c r="N152" s="10">
        <v>1995</v>
      </c>
      <c r="O152" s="9" t="s">
        <v>46</v>
      </c>
      <c r="P152" s="10">
        <v>1999</v>
      </c>
      <c r="Q152" s="9" t="s">
        <v>46</v>
      </c>
      <c r="R152" s="9" t="s">
        <v>47</v>
      </c>
      <c r="S152" s="9" t="s">
        <v>376</v>
      </c>
      <c r="T152" s="11"/>
      <c r="U152" s="9" t="s">
        <v>375</v>
      </c>
      <c r="V152" s="10">
        <v>14.853567</v>
      </c>
      <c r="W152" s="10">
        <v>145.5586874</v>
      </c>
      <c r="X152" s="10">
        <v>1000</v>
      </c>
      <c r="Y152" s="9" t="s">
        <v>46</v>
      </c>
      <c r="Z152" s="10">
        <v>1000</v>
      </c>
      <c r="AA152" s="9" t="s">
        <v>46</v>
      </c>
      <c r="AB152" s="9" t="s">
        <v>377</v>
      </c>
      <c r="AC152" s="9" t="s">
        <v>378</v>
      </c>
      <c r="AD152" s="11"/>
      <c r="AE152" s="10">
        <v>-45</v>
      </c>
      <c r="AF152" s="10">
        <v>-49</v>
      </c>
      <c r="AG152" s="10">
        <v>950</v>
      </c>
      <c r="AH152" s="10">
        <v>950</v>
      </c>
      <c r="AI152" s="10">
        <v>995</v>
      </c>
      <c r="AJ152" s="10">
        <v>999</v>
      </c>
      <c r="AK152" s="10">
        <v>997</v>
      </c>
      <c r="AL152" s="10">
        <v>-4</v>
      </c>
      <c r="AM152" s="9" t="s">
        <v>53</v>
      </c>
    </row>
    <row r="153" spans="1:39" ht="20" customHeight="1" x14ac:dyDescent="0.15">
      <c r="A153" s="7">
        <v>119548740</v>
      </c>
      <c r="B153" s="8">
        <v>103780109</v>
      </c>
      <c r="C153" s="9" t="s">
        <v>373</v>
      </c>
      <c r="D153" s="9" t="s">
        <v>374</v>
      </c>
      <c r="E153" s="9" t="s">
        <v>40</v>
      </c>
      <c r="F153" s="9" t="s">
        <v>41</v>
      </c>
      <c r="G153" s="9" t="s">
        <v>42</v>
      </c>
      <c r="H153" s="9" t="s">
        <v>58</v>
      </c>
      <c r="I153" s="10">
        <v>1</v>
      </c>
      <c r="J153" s="9" t="s">
        <v>44</v>
      </c>
      <c r="K153" s="9" t="s">
        <v>375</v>
      </c>
      <c r="L153" s="10">
        <v>14.853567</v>
      </c>
      <c r="M153" s="10">
        <v>145.5586874</v>
      </c>
      <c r="N153" s="10">
        <v>1995</v>
      </c>
      <c r="O153" s="9" t="s">
        <v>46</v>
      </c>
      <c r="P153" s="10">
        <v>1999</v>
      </c>
      <c r="Q153" s="9" t="s">
        <v>46</v>
      </c>
      <c r="R153" s="9" t="s">
        <v>47</v>
      </c>
      <c r="S153" s="9" t="s">
        <v>376</v>
      </c>
      <c r="T153" s="11"/>
      <c r="U153" s="9" t="s">
        <v>379</v>
      </c>
      <c r="V153" s="10">
        <v>15.1909825</v>
      </c>
      <c r="W153" s="10">
        <v>145.74674300000001</v>
      </c>
      <c r="X153" s="10">
        <v>1875</v>
      </c>
      <c r="Y153" s="9" t="s">
        <v>46</v>
      </c>
      <c r="Z153" s="10">
        <v>1899</v>
      </c>
      <c r="AA153" s="9" t="s">
        <v>46</v>
      </c>
      <c r="AB153" s="9" t="s">
        <v>380</v>
      </c>
      <c r="AC153" s="9" t="s">
        <v>381</v>
      </c>
      <c r="AD153" s="11"/>
      <c r="AE153" s="10">
        <v>-45</v>
      </c>
      <c r="AF153" s="10">
        <v>-49</v>
      </c>
      <c r="AG153" s="10">
        <v>75</v>
      </c>
      <c r="AH153" s="10">
        <v>51</v>
      </c>
      <c r="AI153" s="10">
        <v>96</v>
      </c>
      <c r="AJ153" s="10">
        <v>124</v>
      </c>
      <c r="AK153" s="10">
        <v>110</v>
      </c>
      <c r="AL153" s="10">
        <v>-28</v>
      </c>
      <c r="AM153" s="9" t="s">
        <v>57</v>
      </c>
    </row>
    <row r="154" spans="1:39" ht="20" customHeight="1" x14ac:dyDescent="0.15">
      <c r="A154" s="7">
        <v>119548740</v>
      </c>
      <c r="B154" s="8">
        <v>103780109</v>
      </c>
      <c r="C154" s="9" t="s">
        <v>373</v>
      </c>
      <c r="D154" s="9" t="s">
        <v>374</v>
      </c>
      <c r="E154" s="9" t="s">
        <v>40</v>
      </c>
      <c r="F154" s="9" t="s">
        <v>41</v>
      </c>
      <c r="G154" s="9" t="s">
        <v>42</v>
      </c>
      <c r="H154" s="9" t="s">
        <v>59</v>
      </c>
      <c r="I154" s="10">
        <v>0</v>
      </c>
      <c r="J154" s="9" t="s">
        <v>44</v>
      </c>
      <c r="K154" s="9" t="s">
        <v>375</v>
      </c>
      <c r="L154" s="10">
        <v>14.853567</v>
      </c>
      <c r="M154" s="10">
        <v>145.5586874</v>
      </c>
      <c r="N154" s="10">
        <v>1995</v>
      </c>
      <c r="O154" s="9" t="s">
        <v>46</v>
      </c>
      <c r="P154" s="10">
        <v>1999</v>
      </c>
      <c r="Q154" s="9" t="s">
        <v>46</v>
      </c>
      <c r="R154" s="9" t="s">
        <v>47</v>
      </c>
      <c r="S154" s="9" t="s">
        <v>376</v>
      </c>
      <c r="T154" s="11"/>
      <c r="U154" s="9" t="s">
        <v>382</v>
      </c>
      <c r="V154" s="10">
        <v>13.4499943</v>
      </c>
      <c r="W154" s="10">
        <v>144.76516770000001</v>
      </c>
      <c r="X154" s="10">
        <v>1819</v>
      </c>
      <c r="Y154" s="9" t="s">
        <v>46</v>
      </c>
      <c r="Z154" s="10">
        <v>1819</v>
      </c>
      <c r="AA154" s="9" t="s">
        <v>46</v>
      </c>
      <c r="AB154" s="9" t="s">
        <v>380</v>
      </c>
      <c r="AC154" s="9" t="s">
        <v>383</v>
      </c>
      <c r="AD154" s="11"/>
      <c r="AE154" s="10">
        <v>-45</v>
      </c>
      <c r="AF154" s="10">
        <v>-49</v>
      </c>
      <c r="AG154" s="10">
        <v>131</v>
      </c>
      <c r="AH154" s="10">
        <v>131</v>
      </c>
      <c r="AI154" s="10">
        <v>176</v>
      </c>
      <c r="AJ154" s="10">
        <v>180</v>
      </c>
      <c r="AK154" s="10">
        <v>178</v>
      </c>
      <c r="AL154" s="10">
        <v>-4</v>
      </c>
      <c r="AM154" s="9" t="s">
        <v>103</v>
      </c>
    </row>
    <row r="155" spans="1:39" ht="20" customHeight="1" x14ac:dyDescent="0.15">
      <c r="A155" s="7">
        <v>119552278</v>
      </c>
      <c r="B155" s="8">
        <v>103811601</v>
      </c>
      <c r="C155" s="9" t="s">
        <v>384</v>
      </c>
      <c r="D155" s="9" t="s">
        <v>385</v>
      </c>
      <c r="E155" s="9" t="s">
        <v>40</v>
      </c>
      <c r="F155" s="9" t="s">
        <v>41</v>
      </c>
      <c r="G155" s="9" t="s">
        <v>58</v>
      </c>
      <c r="H155" s="9" t="s">
        <v>54</v>
      </c>
      <c r="I155" s="10">
        <v>0</v>
      </c>
      <c r="J155" s="9" t="s">
        <v>44</v>
      </c>
      <c r="K155" s="9" t="s">
        <v>337</v>
      </c>
      <c r="L155" s="10">
        <v>-21.1307379</v>
      </c>
      <c r="M155" s="10">
        <v>55.536480099999999</v>
      </c>
      <c r="N155" s="10">
        <v>1672</v>
      </c>
      <c r="O155" s="9" t="s">
        <v>46</v>
      </c>
      <c r="P155" s="10">
        <v>1672</v>
      </c>
      <c r="Q155" s="9" t="s">
        <v>46</v>
      </c>
      <c r="R155" s="9" t="s">
        <v>47</v>
      </c>
      <c r="S155" s="9" t="s">
        <v>386</v>
      </c>
      <c r="T155" s="11"/>
      <c r="U155" s="9" t="s">
        <v>337</v>
      </c>
      <c r="V155" s="10">
        <v>-21.1307379</v>
      </c>
      <c r="W155" s="10">
        <v>55.536480099999999</v>
      </c>
      <c r="X155" s="10">
        <v>1670</v>
      </c>
      <c r="Y155" s="9" t="s">
        <v>46</v>
      </c>
      <c r="Z155" s="10">
        <v>1670</v>
      </c>
      <c r="AA155" s="9" t="s">
        <v>46</v>
      </c>
      <c r="AB155" s="9" t="s">
        <v>318</v>
      </c>
      <c r="AC155" s="9" t="s">
        <v>339</v>
      </c>
      <c r="AD155" s="11"/>
      <c r="AE155" s="10">
        <v>278</v>
      </c>
      <c r="AF155" s="10">
        <v>278</v>
      </c>
      <c r="AG155" s="10">
        <v>280</v>
      </c>
      <c r="AH155" s="10">
        <v>280</v>
      </c>
      <c r="AI155" s="10">
        <v>2</v>
      </c>
      <c r="AJ155" s="10">
        <v>2</v>
      </c>
      <c r="AK155" s="10">
        <v>2</v>
      </c>
      <c r="AL155" s="10">
        <v>0</v>
      </c>
      <c r="AM155" s="9" t="s">
        <v>57</v>
      </c>
    </row>
    <row r="156" spans="1:39" ht="20" customHeight="1" x14ac:dyDescent="0.15">
      <c r="A156" s="7">
        <v>119552278</v>
      </c>
      <c r="B156" s="8">
        <v>103811601</v>
      </c>
      <c r="C156" s="9" t="s">
        <v>384</v>
      </c>
      <c r="D156" s="9" t="s">
        <v>385</v>
      </c>
      <c r="E156" s="9" t="s">
        <v>40</v>
      </c>
      <c r="F156" s="9" t="s">
        <v>41</v>
      </c>
      <c r="G156" s="9" t="s">
        <v>58</v>
      </c>
      <c r="H156" s="9" t="s">
        <v>58</v>
      </c>
      <c r="I156" s="10">
        <v>1</v>
      </c>
      <c r="J156" s="9" t="s">
        <v>44</v>
      </c>
      <c r="K156" s="9" t="s">
        <v>337</v>
      </c>
      <c r="L156" s="10">
        <v>-21.1307379</v>
      </c>
      <c r="M156" s="10">
        <v>55.536480099999999</v>
      </c>
      <c r="N156" s="10">
        <v>1672</v>
      </c>
      <c r="O156" s="9" t="s">
        <v>46</v>
      </c>
      <c r="P156" s="10">
        <v>1672</v>
      </c>
      <c r="Q156" s="9" t="s">
        <v>46</v>
      </c>
      <c r="R156" s="9" t="s">
        <v>47</v>
      </c>
      <c r="S156" s="9" t="s">
        <v>386</v>
      </c>
      <c r="T156" s="11"/>
      <c r="U156" s="9" t="s">
        <v>337</v>
      </c>
      <c r="V156" s="10">
        <v>-21.1307379</v>
      </c>
      <c r="W156" s="10">
        <v>55.536480099999999</v>
      </c>
      <c r="X156" s="10">
        <v>1735</v>
      </c>
      <c r="Y156" s="9" t="s">
        <v>46</v>
      </c>
      <c r="Z156" s="10">
        <v>1735</v>
      </c>
      <c r="AA156" s="9" t="s">
        <v>46</v>
      </c>
      <c r="AB156" s="9" t="s">
        <v>318</v>
      </c>
      <c r="AC156" s="9" t="s">
        <v>321</v>
      </c>
      <c r="AD156" s="11"/>
      <c r="AE156" s="10">
        <v>278</v>
      </c>
      <c r="AF156" s="10">
        <v>278</v>
      </c>
      <c r="AG156" s="10">
        <v>215</v>
      </c>
      <c r="AH156" s="10">
        <v>215</v>
      </c>
      <c r="AI156" s="10">
        <v>-63</v>
      </c>
      <c r="AJ156" s="10">
        <v>-63</v>
      </c>
      <c r="AK156" s="10">
        <v>-63</v>
      </c>
      <c r="AL156" s="10">
        <v>0</v>
      </c>
      <c r="AM156" s="9" t="s">
        <v>86</v>
      </c>
    </row>
    <row r="157" spans="1:39" ht="20" customHeight="1" x14ac:dyDescent="0.15">
      <c r="A157" s="7">
        <v>153774712</v>
      </c>
      <c r="B157" s="8">
        <v>22720863</v>
      </c>
      <c r="C157" s="9" t="s">
        <v>387</v>
      </c>
      <c r="D157" s="9" t="s">
        <v>388</v>
      </c>
      <c r="E157" s="9" t="s">
        <v>40</v>
      </c>
      <c r="F157" s="9" t="s">
        <v>41</v>
      </c>
      <c r="G157" s="9" t="s">
        <v>42</v>
      </c>
      <c r="H157" s="9" t="s">
        <v>43</v>
      </c>
      <c r="I157" s="10">
        <v>1</v>
      </c>
      <c r="J157" s="9" t="s">
        <v>44</v>
      </c>
      <c r="K157" s="9" t="s">
        <v>389</v>
      </c>
      <c r="L157" s="10">
        <v>20.8029568</v>
      </c>
      <c r="M157" s="10">
        <v>-156.31068329999999</v>
      </c>
      <c r="N157" s="10">
        <v>2003</v>
      </c>
      <c r="O157" s="9" t="s">
        <v>46</v>
      </c>
      <c r="P157" s="10">
        <v>2004</v>
      </c>
      <c r="Q157" s="9" t="s">
        <v>46</v>
      </c>
      <c r="R157" s="9" t="s">
        <v>47</v>
      </c>
      <c r="S157" s="9" t="s">
        <v>390</v>
      </c>
      <c r="T157" s="11"/>
      <c r="U157" s="9" t="s">
        <v>155</v>
      </c>
      <c r="V157" s="10">
        <v>19.593801500000001</v>
      </c>
      <c r="W157" s="10">
        <v>-155.4283701</v>
      </c>
      <c r="X157" s="10">
        <v>800</v>
      </c>
      <c r="Y157" s="9" t="s">
        <v>72</v>
      </c>
      <c r="Z157" s="10">
        <v>800</v>
      </c>
      <c r="AA157" s="9" t="s">
        <v>72</v>
      </c>
      <c r="AB157" s="9" t="s">
        <v>157</v>
      </c>
      <c r="AC157" s="9" t="s">
        <v>158</v>
      </c>
      <c r="AD157" s="11"/>
      <c r="AE157" s="10">
        <v>-53</v>
      </c>
      <c r="AF157" s="10">
        <v>-54</v>
      </c>
      <c r="AG157" s="10">
        <v>800</v>
      </c>
      <c r="AH157" s="10">
        <v>800</v>
      </c>
      <c r="AI157" s="10">
        <v>853</v>
      </c>
      <c r="AJ157" s="10">
        <v>854</v>
      </c>
      <c r="AK157" s="10">
        <v>853.5</v>
      </c>
      <c r="AL157" s="10">
        <v>-1</v>
      </c>
      <c r="AM157" s="9" t="s">
        <v>53</v>
      </c>
    </row>
    <row r="158" spans="1:39" ht="20" customHeight="1" x14ac:dyDescent="0.15">
      <c r="A158" s="7">
        <v>153774712</v>
      </c>
      <c r="B158" s="8">
        <v>22720863</v>
      </c>
      <c r="C158" s="9" t="s">
        <v>387</v>
      </c>
      <c r="D158" s="9" t="s">
        <v>388</v>
      </c>
      <c r="E158" s="9" t="s">
        <v>40</v>
      </c>
      <c r="F158" s="9" t="s">
        <v>41</v>
      </c>
      <c r="G158" s="9" t="s">
        <v>42</v>
      </c>
      <c r="H158" s="9" t="s">
        <v>54</v>
      </c>
      <c r="I158" s="10">
        <v>1</v>
      </c>
      <c r="J158" s="9" t="s">
        <v>44</v>
      </c>
      <c r="K158" s="9" t="s">
        <v>389</v>
      </c>
      <c r="L158" s="10">
        <v>20.8029568</v>
      </c>
      <c r="M158" s="10">
        <v>-156.31068329999999</v>
      </c>
      <c r="N158" s="10">
        <v>2003</v>
      </c>
      <c r="O158" s="9" t="s">
        <v>46</v>
      </c>
      <c r="P158" s="10">
        <v>2004</v>
      </c>
      <c r="Q158" s="9" t="s">
        <v>46</v>
      </c>
      <c r="R158" s="9" t="s">
        <v>47</v>
      </c>
      <c r="S158" s="9" t="s">
        <v>390</v>
      </c>
      <c r="T158" s="11"/>
      <c r="U158" s="9" t="s">
        <v>155</v>
      </c>
      <c r="V158" s="10">
        <v>19.593801500000001</v>
      </c>
      <c r="W158" s="10">
        <v>-155.4283701</v>
      </c>
      <c r="X158" s="10">
        <v>1870</v>
      </c>
      <c r="Y158" s="9" t="s">
        <v>46</v>
      </c>
      <c r="Z158" s="10">
        <v>1879</v>
      </c>
      <c r="AA158" s="9" t="s">
        <v>46</v>
      </c>
      <c r="AB158" s="9" t="s">
        <v>157</v>
      </c>
      <c r="AC158" s="9" t="s">
        <v>159</v>
      </c>
      <c r="AD158" s="9" t="s">
        <v>391</v>
      </c>
      <c r="AE158" s="10">
        <v>-53</v>
      </c>
      <c r="AF158" s="10">
        <v>-54</v>
      </c>
      <c r="AG158" s="10">
        <v>80</v>
      </c>
      <c r="AH158" s="10">
        <v>71</v>
      </c>
      <c r="AI158" s="10">
        <v>124</v>
      </c>
      <c r="AJ158" s="10">
        <v>134</v>
      </c>
      <c r="AK158" s="10">
        <v>129</v>
      </c>
      <c r="AL158" s="10">
        <v>-10</v>
      </c>
      <c r="AM158" s="9" t="s">
        <v>103</v>
      </c>
    </row>
    <row r="159" spans="1:39" ht="20" customHeight="1" x14ac:dyDescent="0.15">
      <c r="A159" s="7">
        <v>153774712</v>
      </c>
      <c r="B159" s="8">
        <v>22720863</v>
      </c>
      <c r="C159" s="9" t="s">
        <v>387</v>
      </c>
      <c r="D159" s="9" t="s">
        <v>388</v>
      </c>
      <c r="E159" s="9" t="s">
        <v>40</v>
      </c>
      <c r="F159" s="9" t="s">
        <v>41</v>
      </c>
      <c r="G159" s="9" t="s">
        <v>42</v>
      </c>
      <c r="H159" s="9" t="s">
        <v>58</v>
      </c>
      <c r="I159" s="10">
        <v>1</v>
      </c>
      <c r="J159" s="9" t="s">
        <v>44</v>
      </c>
      <c r="K159" s="9" t="s">
        <v>389</v>
      </c>
      <c r="L159" s="10">
        <v>20.8029568</v>
      </c>
      <c r="M159" s="10">
        <v>-156.31068329999999</v>
      </c>
      <c r="N159" s="10">
        <v>2003</v>
      </c>
      <c r="O159" s="9" t="s">
        <v>46</v>
      </c>
      <c r="P159" s="10">
        <v>2004</v>
      </c>
      <c r="Q159" s="9" t="s">
        <v>46</v>
      </c>
      <c r="R159" s="9" t="s">
        <v>47</v>
      </c>
      <c r="S159" s="9" t="s">
        <v>390</v>
      </c>
      <c r="T159" s="11"/>
      <c r="U159" s="9" t="s">
        <v>155</v>
      </c>
      <c r="V159" s="10">
        <v>19.593801500000001</v>
      </c>
      <c r="W159" s="10">
        <v>-155.4283701</v>
      </c>
      <c r="X159" s="10">
        <v>1778</v>
      </c>
      <c r="Y159" s="9" t="s">
        <v>46</v>
      </c>
      <c r="Z159" s="10">
        <v>1778</v>
      </c>
      <c r="AA159" s="9" t="s">
        <v>46</v>
      </c>
      <c r="AB159" s="9" t="s">
        <v>157</v>
      </c>
      <c r="AC159" s="9" t="s">
        <v>161</v>
      </c>
      <c r="AD159" s="11"/>
      <c r="AE159" s="10">
        <v>-53</v>
      </c>
      <c r="AF159" s="10">
        <v>-54</v>
      </c>
      <c r="AG159" s="10">
        <v>172</v>
      </c>
      <c r="AH159" s="10">
        <v>172</v>
      </c>
      <c r="AI159" s="10">
        <v>225</v>
      </c>
      <c r="AJ159" s="10">
        <v>226</v>
      </c>
      <c r="AK159" s="10">
        <v>225.5</v>
      </c>
      <c r="AL159" s="10">
        <v>-1</v>
      </c>
      <c r="AM159" s="9" t="s">
        <v>103</v>
      </c>
    </row>
    <row r="160" spans="1:39" ht="20" customHeight="1" x14ac:dyDescent="0.15">
      <c r="A160" s="7">
        <v>153774712</v>
      </c>
      <c r="B160" s="8">
        <v>22720863</v>
      </c>
      <c r="C160" s="9" t="s">
        <v>387</v>
      </c>
      <c r="D160" s="9" t="s">
        <v>388</v>
      </c>
      <c r="E160" s="9" t="s">
        <v>40</v>
      </c>
      <c r="F160" s="9" t="s">
        <v>41</v>
      </c>
      <c r="G160" s="9" t="s">
        <v>42</v>
      </c>
      <c r="H160" s="9" t="s">
        <v>59</v>
      </c>
      <c r="I160" s="10">
        <v>0</v>
      </c>
      <c r="J160" s="9" t="s">
        <v>44</v>
      </c>
      <c r="K160" s="9" t="s">
        <v>389</v>
      </c>
      <c r="L160" s="10">
        <v>20.8029568</v>
      </c>
      <c r="M160" s="10">
        <v>-156.31068329999999</v>
      </c>
      <c r="N160" s="10">
        <v>2003</v>
      </c>
      <c r="O160" s="9" t="s">
        <v>46</v>
      </c>
      <c r="P160" s="10">
        <v>2004</v>
      </c>
      <c r="Q160" s="9" t="s">
        <v>46</v>
      </c>
      <c r="R160" s="9" t="s">
        <v>47</v>
      </c>
      <c r="S160" s="9" t="s">
        <v>390</v>
      </c>
      <c r="T160" s="11"/>
      <c r="U160" s="9" t="s">
        <v>155</v>
      </c>
      <c r="V160" s="10">
        <v>19.593801500000001</v>
      </c>
      <c r="W160" s="10">
        <v>-155.4283701</v>
      </c>
      <c r="X160" s="10">
        <v>1778</v>
      </c>
      <c r="Y160" s="9" t="s">
        <v>46</v>
      </c>
      <c r="Z160" s="10">
        <v>1778</v>
      </c>
      <c r="AA160" s="9" t="s">
        <v>46</v>
      </c>
      <c r="AB160" s="9" t="s">
        <v>157</v>
      </c>
      <c r="AC160" s="9" t="s">
        <v>161</v>
      </c>
      <c r="AD160" s="11"/>
      <c r="AE160" s="10">
        <v>-53</v>
      </c>
      <c r="AF160" s="10">
        <v>-54</v>
      </c>
      <c r="AG160" s="10">
        <v>172</v>
      </c>
      <c r="AH160" s="10">
        <v>172</v>
      </c>
      <c r="AI160" s="10">
        <v>225</v>
      </c>
      <c r="AJ160" s="10">
        <v>226</v>
      </c>
      <c r="AK160" s="10">
        <v>225.5</v>
      </c>
      <c r="AL160" s="10">
        <v>-1</v>
      </c>
      <c r="AM160" s="9" t="s">
        <v>103</v>
      </c>
    </row>
    <row r="161" spans="1:39" ht="20" customHeight="1" x14ac:dyDescent="0.15">
      <c r="A161" s="7">
        <v>178409463</v>
      </c>
      <c r="B161" s="8">
        <v>22690740</v>
      </c>
      <c r="C161" s="9" t="s">
        <v>392</v>
      </c>
      <c r="D161" s="9" t="s">
        <v>393</v>
      </c>
      <c r="E161" s="9" t="s">
        <v>40</v>
      </c>
      <c r="F161" s="9" t="s">
        <v>201</v>
      </c>
      <c r="G161" s="9" t="s">
        <v>59</v>
      </c>
      <c r="H161" s="9" t="s">
        <v>59</v>
      </c>
      <c r="I161" s="10">
        <v>1</v>
      </c>
      <c r="J161" s="9" t="s">
        <v>202</v>
      </c>
      <c r="K161" s="9" t="s">
        <v>394</v>
      </c>
      <c r="L161" s="10">
        <v>18.788716000000001</v>
      </c>
      <c r="M161" s="10">
        <v>-110.97144</v>
      </c>
      <c r="N161" s="10">
        <v>1972</v>
      </c>
      <c r="O161" s="9" t="s">
        <v>46</v>
      </c>
      <c r="P161" s="10">
        <v>1972</v>
      </c>
      <c r="Q161" s="9" t="s">
        <v>46</v>
      </c>
      <c r="R161" s="9" t="s">
        <v>47</v>
      </c>
      <c r="S161" s="9" t="s">
        <v>395</v>
      </c>
      <c r="T161" s="11"/>
      <c r="U161" s="9" t="s">
        <v>394</v>
      </c>
      <c r="V161" s="10">
        <v>18.788716000000001</v>
      </c>
      <c r="W161" s="10">
        <v>-110.97144</v>
      </c>
      <c r="X161" s="10">
        <v>1950</v>
      </c>
      <c r="Y161" s="9" t="s">
        <v>46</v>
      </c>
      <c r="Z161" s="10">
        <v>1959</v>
      </c>
      <c r="AA161" s="9" t="s">
        <v>46</v>
      </c>
      <c r="AB161" s="9" t="s">
        <v>396</v>
      </c>
      <c r="AC161" s="9" t="s">
        <v>397</v>
      </c>
      <c r="AD161" s="11"/>
      <c r="AE161" s="10">
        <v>-22</v>
      </c>
      <c r="AF161" s="10">
        <v>-22</v>
      </c>
      <c r="AG161" s="10">
        <v>0</v>
      </c>
      <c r="AH161" s="10">
        <v>-9</v>
      </c>
      <c r="AI161" s="10">
        <v>13</v>
      </c>
      <c r="AJ161" s="10">
        <v>22</v>
      </c>
      <c r="AK161" s="10">
        <v>17.5</v>
      </c>
      <c r="AL161" s="10">
        <v>-9</v>
      </c>
      <c r="AM161" s="9" t="s">
        <v>57</v>
      </c>
    </row>
    <row r="162" spans="1:39" ht="20" customHeight="1" x14ac:dyDescent="0.15">
      <c r="A162" s="7">
        <v>181392751</v>
      </c>
      <c r="B162" s="8">
        <v>103823595</v>
      </c>
      <c r="C162" s="9" t="s">
        <v>398</v>
      </c>
      <c r="D162" s="9" t="s">
        <v>399</v>
      </c>
      <c r="E162" s="9" t="s">
        <v>40</v>
      </c>
      <c r="F162" s="9" t="s">
        <v>41</v>
      </c>
      <c r="G162" s="9" t="s">
        <v>54</v>
      </c>
      <c r="H162" s="9" t="s">
        <v>54</v>
      </c>
      <c r="I162" s="10">
        <v>1</v>
      </c>
      <c r="J162" s="9" t="s">
        <v>44</v>
      </c>
      <c r="K162" s="9" t="s">
        <v>400</v>
      </c>
      <c r="L162" s="10">
        <v>21.483436399999999</v>
      </c>
      <c r="M162" s="10">
        <v>-158.03648369999999</v>
      </c>
      <c r="N162" s="10">
        <v>1875</v>
      </c>
      <c r="O162" s="9" t="s">
        <v>46</v>
      </c>
      <c r="P162" s="10">
        <v>1900</v>
      </c>
      <c r="Q162" s="9" t="s">
        <v>46</v>
      </c>
      <c r="R162" s="9" t="s">
        <v>47</v>
      </c>
      <c r="S162" s="9" t="s">
        <v>401</v>
      </c>
      <c r="T162" s="11"/>
      <c r="U162" s="9" t="s">
        <v>400</v>
      </c>
      <c r="V162" s="10">
        <v>21.483436399999999</v>
      </c>
      <c r="W162" s="10">
        <v>-158.03648369999999</v>
      </c>
      <c r="X162" s="10">
        <v>1870</v>
      </c>
      <c r="Y162" s="9" t="s">
        <v>46</v>
      </c>
      <c r="Z162" s="10">
        <v>1879</v>
      </c>
      <c r="AA162" s="9" t="s">
        <v>46</v>
      </c>
      <c r="AB162" s="9" t="s">
        <v>402</v>
      </c>
      <c r="AC162" s="9" t="s">
        <v>403</v>
      </c>
      <c r="AD162" s="11"/>
      <c r="AE162" s="10">
        <v>75</v>
      </c>
      <c r="AF162" s="10">
        <v>50</v>
      </c>
      <c r="AG162" s="10">
        <v>80</v>
      </c>
      <c r="AH162" s="10">
        <v>71</v>
      </c>
      <c r="AI162" s="10">
        <v>-4</v>
      </c>
      <c r="AJ162" s="10">
        <v>30</v>
      </c>
      <c r="AK162" s="10">
        <v>13</v>
      </c>
      <c r="AL162" s="10">
        <v>-34</v>
      </c>
      <c r="AM162" s="9" t="s">
        <v>128</v>
      </c>
    </row>
    <row r="163" spans="1:39" ht="20" customHeight="1" x14ac:dyDescent="0.15">
      <c r="A163" s="7">
        <v>118663538</v>
      </c>
      <c r="B163" s="8">
        <v>22691668</v>
      </c>
      <c r="C163" s="9" t="s">
        <v>404</v>
      </c>
      <c r="D163" s="9" t="s">
        <v>405</v>
      </c>
      <c r="E163" s="9" t="s">
        <v>40</v>
      </c>
      <c r="F163" s="9" t="s">
        <v>406</v>
      </c>
      <c r="G163" s="9" t="s">
        <v>54</v>
      </c>
      <c r="H163" s="9" t="s">
        <v>54</v>
      </c>
      <c r="I163" s="10">
        <v>1</v>
      </c>
      <c r="J163" s="9" t="s">
        <v>202</v>
      </c>
      <c r="K163" s="9" t="s">
        <v>122</v>
      </c>
      <c r="L163" s="10">
        <v>-17.687343899999998</v>
      </c>
      <c r="M163" s="10">
        <v>-149.44516809999999</v>
      </c>
      <c r="N163" s="10">
        <v>1990</v>
      </c>
      <c r="O163" s="9" t="s">
        <v>46</v>
      </c>
      <c r="P163" s="10">
        <v>2006</v>
      </c>
      <c r="Q163" s="9" t="s">
        <v>46</v>
      </c>
      <c r="R163" s="9" t="s">
        <v>47</v>
      </c>
      <c r="S163" s="9" t="s">
        <v>407</v>
      </c>
      <c r="T163" s="11"/>
      <c r="U163" s="9" t="s">
        <v>122</v>
      </c>
      <c r="V163" s="10">
        <v>-17.687343899999998</v>
      </c>
      <c r="W163" s="10">
        <v>-149.44516809999999</v>
      </c>
      <c r="X163" s="10">
        <v>1767</v>
      </c>
      <c r="Y163" s="9" t="s">
        <v>46</v>
      </c>
      <c r="Z163" s="10">
        <v>1923</v>
      </c>
      <c r="AA163" s="9" t="s">
        <v>46</v>
      </c>
      <c r="AB163" s="9" t="s">
        <v>124</v>
      </c>
      <c r="AC163" s="9" t="s">
        <v>129</v>
      </c>
      <c r="AD163" s="9" t="s">
        <v>126</v>
      </c>
      <c r="AE163" s="10">
        <v>-40</v>
      </c>
      <c r="AF163" s="10">
        <v>-56</v>
      </c>
      <c r="AG163" s="10">
        <v>183</v>
      </c>
      <c r="AH163" s="10">
        <v>27</v>
      </c>
      <c r="AI163" s="10">
        <v>67</v>
      </c>
      <c r="AJ163" s="10">
        <v>239</v>
      </c>
      <c r="AK163" s="10">
        <v>153</v>
      </c>
      <c r="AL163" s="10">
        <v>-172</v>
      </c>
      <c r="AM163" s="9" t="s">
        <v>57</v>
      </c>
    </row>
    <row r="164" spans="1:39" ht="20" customHeight="1" x14ac:dyDescent="0.15">
      <c r="A164" s="7">
        <v>130697270</v>
      </c>
      <c r="B164" s="8">
        <v>22680203</v>
      </c>
      <c r="C164" s="9" t="s">
        <v>408</v>
      </c>
      <c r="D164" s="9" t="s">
        <v>409</v>
      </c>
      <c r="E164" s="9" t="s">
        <v>40</v>
      </c>
      <c r="F164" s="9" t="s">
        <v>410</v>
      </c>
      <c r="G164" s="9" t="s">
        <v>42</v>
      </c>
      <c r="H164" s="9" t="s">
        <v>59</v>
      </c>
      <c r="I164" s="10">
        <v>0</v>
      </c>
      <c r="J164" s="9" t="s">
        <v>202</v>
      </c>
      <c r="K164" s="9" t="s">
        <v>411</v>
      </c>
      <c r="L164" s="10">
        <v>26.062639900000001</v>
      </c>
      <c r="M164" s="10">
        <v>-173.96547910000001</v>
      </c>
      <c r="N164" s="10">
        <v>1868</v>
      </c>
      <c r="O164" s="9" t="s">
        <v>46</v>
      </c>
      <c r="P164" s="10">
        <v>1868</v>
      </c>
      <c r="Q164" s="9" t="s">
        <v>46</v>
      </c>
      <c r="R164" s="9" t="s">
        <v>47</v>
      </c>
      <c r="S164" s="9" t="s">
        <v>412</v>
      </c>
      <c r="T164" s="11"/>
      <c r="U164" s="9" t="s">
        <v>411</v>
      </c>
      <c r="V164" s="10">
        <v>26.062639900000001</v>
      </c>
      <c r="W164" s="10">
        <v>-173.96547910000001</v>
      </c>
      <c r="X164" s="10">
        <v>1846</v>
      </c>
      <c r="Y164" s="9" t="s">
        <v>46</v>
      </c>
      <c r="Z164" s="10">
        <v>1846</v>
      </c>
      <c r="AA164" s="9" t="s">
        <v>46</v>
      </c>
      <c r="AB164" s="9" t="s">
        <v>413</v>
      </c>
      <c r="AC164" s="9" t="s">
        <v>414</v>
      </c>
      <c r="AD164" s="11"/>
      <c r="AE164" s="10">
        <v>82</v>
      </c>
      <c r="AF164" s="10">
        <v>82</v>
      </c>
      <c r="AG164" s="10">
        <v>104</v>
      </c>
      <c r="AH164" s="10">
        <v>104</v>
      </c>
      <c r="AI164" s="10">
        <v>22</v>
      </c>
      <c r="AJ164" s="10">
        <v>22</v>
      </c>
      <c r="AK164" s="10">
        <v>22</v>
      </c>
      <c r="AL164" s="10">
        <v>0</v>
      </c>
      <c r="AM164" s="9" t="s">
        <v>57</v>
      </c>
    </row>
    <row r="165" spans="1:39" ht="20" customHeight="1" x14ac:dyDescent="0.15">
      <c r="A165" s="7">
        <v>130697270</v>
      </c>
      <c r="B165" s="8">
        <v>22680203</v>
      </c>
      <c r="C165" s="9" t="s">
        <v>408</v>
      </c>
      <c r="D165" s="9" t="s">
        <v>409</v>
      </c>
      <c r="E165" s="9" t="s">
        <v>40</v>
      </c>
      <c r="F165" s="9" t="s">
        <v>410</v>
      </c>
      <c r="G165" s="9" t="s">
        <v>42</v>
      </c>
      <c r="H165" s="9" t="s">
        <v>43</v>
      </c>
      <c r="I165" s="10">
        <v>1</v>
      </c>
      <c r="J165" s="9" t="s">
        <v>202</v>
      </c>
      <c r="K165" s="9" t="s">
        <v>155</v>
      </c>
      <c r="L165" s="10">
        <v>19.593801500000001</v>
      </c>
      <c r="M165" s="10">
        <v>-155.4283701</v>
      </c>
      <c r="N165" s="10">
        <v>1113</v>
      </c>
      <c r="O165" s="9" t="s">
        <v>46</v>
      </c>
      <c r="P165" s="10">
        <v>1213</v>
      </c>
      <c r="Q165" s="9" t="s">
        <v>46</v>
      </c>
      <c r="R165" s="9" t="s">
        <v>415</v>
      </c>
      <c r="S165" s="9" t="s">
        <v>416</v>
      </c>
      <c r="T165" s="11"/>
      <c r="U165" s="9" t="s">
        <v>155</v>
      </c>
      <c r="V165" s="10">
        <v>19.593801500000001</v>
      </c>
      <c r="W165" s="10">
        <v>-155.4283701</v>
      </c>
      <c r="X165" s="10">
        <v>800</v>
      </c>
      <c r="Y165" s="9" t="s">
        <v>72</v>
      </c>
      <c r="Z165" s="10">
        <v>800</v>
      </c>
      <c r="AA165" s="9" t="s">
        <v>72</v>
      </c>
      <c r="AB165" s="9" t="s">
        <v>157</v>
      </c>
      <c r="AC165" s="9" t="s">
        <v>158</v>
      </c>
      <c r="AD165" s="11"/>
      <c r="AE165" s="10">
        <v>837</v>
      </c>
      <c r="AF165" s="10">
        <v>737</v>
      </c>
      <c r="AG165" s="10">
        <v>800</v>
      </c>
      <c r="AH165" s="10">
        <v>800</v>
      </c>
      <c r="AI165" s="10">
        <v>-37</v>
      </c>
      <c r="AJ165" s="10">
        <v>63</v>
      </c>
      <c r="AK165" s="10">
        <v>13</v>
      </c>
      <c r="AL165" s="10">
        <v>-100</v>
      </c>
      <c r="AM165" s="9" t="s">
        <v>128</v>
      </c>
    </row>
    <row r="166" spans="1:39" ht="20" customHeight="1" x14ac:dyDescent="0.15">
      <c r="A166" s="7">
        <v>130697270</v>
      </c>
      <c r="B166" s="8">
        <v>22680203</v>
      </c>
      <c r="C166" s="9" t="s">
        <v>408</v>
      </c>
      <c r="D166" s="9" t="s">
        <v>409</v>
      </c>
      <c r="E166" s="9" t="s">
        <v>40</v>
      </c>
      <c r="F166" s="9" t="s">
        <v>410</v>
      </c>
      <c r="G166" s="9" t="s">
        <v>42</v>
      </c>
      <c r="H166" s="9" t="s">
        <v>54</v>
      </c>
      <c r="I166" s="10">
        <v>1</v>
      </c>
      <c r="J166" s="9" t="s">
        <v>202</v>
      </c>
      <c r="K166" s="9" t="s">
        <v>155</v>
      </c>
      <c r="L166" s="10">
        <v>19.593801500000001</v>
      </c>
      <c r="M166" s="10">
        <v>-155.4283701</v>
      </c>
      <c r="N166" s="10">
        <v>1113</v>
      </c>
      <c r="O166" s="9" t="s">
        <v>46</v>
      </c>
      <c r="P166" s="10">
        <v>1213</v>
      </c>
      <c r="Q166" s="9" t="s">
        <v>46</v>
      </c>
      <c r="R166" s="9" t="s">
        <v>415</v>
      </c>
      <c r="S166" s="9" t="s">
        <v>416</v>
      </c>
      <c r="T166" s="11"/>
      <c r="U166" s="9" t="s">
        <v>155</v>
      </c>
      <c r="V166" s="10">
        <v>19.593801500000001</v>
      </c>
      <c r="W166" s="10">
        <v>-155.4283701</v>
      </c>
      <c r="X166" s="10">
        <v>1870</v>
      </c>
      <c r="Y166" s="9" t="s">
        <v>46</v>
      </c>
      <c r="Z166" s="10">
        <v>1879</v>
      </c>
      <c r="AA166" s="9" t="s">
        <v>46</v>
      </c>
      <c r="AB166" s="9" t="s">
        <v>157</v>
      </c>
      <c r="AC166" s="9" t="s">
        <v>159</v>
      </c>
      <c r="AD166" s="9" t="s">
        <v>160</v>
      </c>
      <c r="AE166" s="10">
        <v>837</v>
      </c>
      <c r="AF166" s="10">
        <v>737</v>
      </c>
      <c r="AG166" s="10">
        <v>80</v>
      </c>
      <c r="AH166" s="10">
        <v>71</v>
      </c>
      <c r="AI166" s="10">
        <v>-766</v>
      </c>
      <c r="AJ166" s="10">
        <v>-657</v>
      </c>
      <c r="AK166" s="10">
        <v>-711.5</v>
      </c>
      <c r="AL166" s="10">
        <v>-109</v>
      </c>
      <c r="AM166" s="9" t="s">
        <v>86</v>
      </c>
    </row>
    <row r="167" spans="1:39" ht="20" customHeight="1" x14ac:dyDescent="0.15">
      <c r="A167" s="7">
        <v>130697270</v>
      </c>
      <c r="B167" s="8">
        <v>22680203</v>
      </c>
      <c r="C167" s="9" t="s">
        <v>408</v>
      </c>
      <c r="D167" s="9" t="s">
        <v>409</v>
      </c>
      <c r="E167" s="9" t="s">
        <v>40</v>
      </c>
      <c r="F167" s="9" t="s">
        <v>410</v>
      </c>
      <c r="G167" s="9" t="s">
        <v>42</v>
      </c>
      <c r="H167" s="9" t="s">
        <v>58</v>
      </c>
      <c r="I167" s="10">
        <v>1</v>
      </c>
      <c r="J167" s="9" t="s">
        <v>202</v>
      </c>
      <c r="K167" s="9" t="s">
        <v>155</v>
      </c>
      <c r="L167" s="10">
        <v>19.593801500000001</v>
      </c>
      <c r="M167" s="10">
        <v>-155.4283701</v>
      </c>
      <c r="N167" s="10">
        <v>1113</v>
      </c>
      <c r="O167" s="9" t="s">
        <v>46</v>
      </c>
      <c r="P167" s="10">
        <v>1213</v>
      </c>
      <c r="Q167" s="9" t="s">
        <v>46</v>
      </c>
      <c r="R167" s="9" t="s">
        <v>415</v>
      </c>
      <c r="S167" s="9" t="s">
        <v>416</v>
      </c>
      <c r="T167" s="11"/>
      <c r="U167" s="9" t="s">
        <v>155</v>
      </c>
      <c r="V167" s="10">
        <v>19.593801500000001</v>
      </c>
      <c r="W167" s="10">
        <v>-155.4283701</v>
      </c>
      <c r="X167" s="10">
        <v>1778</v>
      </c>
      <c r="Y167" s="9" t="s">
        <v>46</v>
      </c>
      <c r="Z167" s="10">
        <v>1778</v>
      </c>
      <c r="AA167" s="9" t="s">
        <v>46</v>
      </c>
      <c r="AB167" s="9" t="s">
        <v>157</v>
      </c>
      <c r="AC167" s="9" t="s">
        <v>161</v>
      </c>
      <c r="AD167" s="11"/>
      <c r="AE167" s="10">
        <v>837</v>
      </c>
      <c r="AF167" s="10">
        <v>737</v>
      </c>
      <c r="AG167" s="10">
        <v>172</v>
      </c>
      <c r="AH167" s="10">
        <v>172</v>
      </c>
      <c r="AI167" s="10">
        <v>-665</v>
      </c>
      <c r="AJ167" s="10">
        <v>-565</v>
      </c>
      <c r="AK167" s="10">
        <v>-615</v>
      </c>
      <c r="AL167" s="10">
        <v>-100</v>
      </c>
      <c r="AM167" s="9" t="s">
        <v>86</v>
      </c>
    </row>
    <row r="168" spans="1:39" ht="20" customHeight="1" x14ac:dyDescent="0.15">
      <c r="A168" s="7">
        <v>130697270</v>
      </c>
      <c r="B168" s="8">
        <v>22680203</v>
      </c>
      <c r="C168" s="9" t="s">
        <v>408</v>
      </c>
      <c r="D168" s="9" t="s">
        <v>409</v>
      </c>
      <c r="E168" s="9" t="s">
        <v>40</v>
      </c>
      <c r="F168" s="9" t="s">
        <v>410</v>
      </c>
      <c r="G168" s="9" t="s">
        <v>42</v>
      </c>
      <c r="H168" s="9" t="s">
        <v>59</v>
      </c>
      <c r="I168" s="10">
        <v>0</v>
      </c>
      <c r="J168" s="9" t="s">
        <v>202</v>
      </c>
      <c r="K168" s="9" t="s">
        <v>155</v>
      </c>
      <c r="L168" s="10">
        <v>19.593801500000001</v>
      </c>
      <c r="M168" s="10">
        <v>-155.4283701</v>
      </c>
      <c r="N168" s="10">
        <v>1113</v>
      </c>
      <c r="O168" s="9" t="s">
        <v>46</v>
      </c>
      <c r="P168" s="10">
        <v>1213</v>
      </c>
      <c r="Q168" s="9" t="s">
        <v>46</v>
      </c>
      <c r="R168" s="9" t="s">
        <v>415</v>
      </c>
      <c r="S168" s="9" t="s">
        <v>416</v>
      </c>
      <c r="T168" s="11"/>
      <c r="U168" s="9" t="s">
        <v>155</v>
      </c>
      <c r="V168" s="10">
        <v>19.593801500000001</v>
      </c>
      <c r="W168" s="10">
        <v>-155.4283701</v>
      </c>
      <c r="X168" s="10">
        <v>1778</v>
      </c>
      <c r="Y168" s="9" t="s">
        <v>46</v>
      </c>
      <c r="Z168" s="10">
        <v>1778</v>
      </c>
      <c r="AA168" s="9" t="s">
        <v>46</v>
      </c>
      <c r="AB168" s="9" t="s">
        <v>157</v>
      </c>
      <c r="AC168" s="9" t="s">
        <v>161</v>
      </c>
      <c r="AD168" s="11"/>
      <c r="AE168" s="10">
        <v>837</v>
      </c>
      <c r="AF168" s="10">
        <v>737</v>
      </c>
      <c r="AG168" s="10">
        <v>172</v>
      </c>
      <c r="AH168" s="10">
        <v>172</v>
      </c>
      <c r="AI168" s="10">
        <v>-665</v>
      </c>
      <c r="AJ168" s="10">
        <v>-565</v>
      </c>
      <c r="AK168" s="10">
        <v>-615</v>
      </c>
      <c r="AL168" s="10">
        <v>-100</v>
      </c>
      <c r="AM168" s="9" t="s">
        <v>86</v>
      </c>
    </row>
    <row r="169" spans="1:39" ht="20" customHeight="1" x14ac:dyDescent="0.15">
      <c r="A169" s="7">
        <v>132055913</v>
      </c>
      <c r="B169" s="8">
        <v>22684647</v>
      </c>
      <c r="C169" s="9" t="s">
        <v>417</v>
      </c>
      <c r="D169" s="9" t="s">
        <v>418</v>
      </c>
      <c r="E169" s="9" t="s">
        <v>40</v>
      </c>
      <c r="F169" s="9" t="s">
        <v>410</v>
      </c>
      <c r="G169" s="9" t="s">
        <v>54</v>
      </c>
      <c r="H169" s="9" t="s">
        <v>54</v>
      </c>
      <c r="I169" s="10">
        <v>1</v>
      </c>
      <c r="J169" s="9" t="s">
        <v>202</v>
      </c>
      <c r="K169" s="9" t="s">
        <v>291</v>
      </c>
      <c r="L169" s="10">
        <v>-8.8733103999999994</v>
      </c>
      <c r="M169" s="10">
        <v>-140.12456349999999</v>
      </c>
      <c r="N169" s="10">
        <v>1990</v>
      </c>
      <c r="O169" s="9" t="s">
        <v>46</v>
      </c>
      <c r="P169" s="10">
        <v>2004</v>
      </c>
      <c r="Q169" s="9" t="s">
        <v>46</v>
      </c>
      <c r="R169" s="9" t="s">
        <v>47</v>
      </c>
      <c r="S169" s="9" t="s">
        <v>419</v>
      </c>
      <c r="T169" s="11"/>
      <c r="U169" s="9" t="s">
        <v>291</v>
      </c>
      <c r="V169" s="10">
        <v>-8.8733103999999994</v>
      </c>
      <c r="W169" s="10">
        <v>-140.12456349999999</v>
      </c>
      <c r="X169" s="16">
        <v>1915</v>
      </c>
      <c r="Y169" s="25" t="s">
        <v>46</v>
      </c>
      <c r="Z169" s="16">
        <v>1929</v>
      </c>
      <c r="AA169" s="9" t="s">
        <v>46</v>
      </c>
      <c r="AB169" s="13" t="s">
        <v>532</v>
      </c>
      <c r="AC169" s="13" t="s">
        <v>533</v>
      </c>
      <c r="AD169" s="11"/>
      <c r="AE169" s="10">
        <v>-40</v>
      </c>
      <c r="AF169" s="10">
        <v>-54</v>
      </c>
      <c r="AG169" s="16">
        <v>35</v>
      </c>
      <c r="AH169" s="16">
        <v>21</v>
      </c>
      <c r="AI169" s="16">
        <v>61</v>
      </c>
      <c r="AJ169" s="16">
        <v>89</v>
      </c>
      <c r="AK169" s="16">
        <v>75</v>
      </c>
      <c r="AL169" s="16">
        <v>-28</v>
      </c>
      <c r="AM169" s="9" t="s">
        <v>57</v>
      </c>
    </row>
    <row r="170" spans="1:39" ht="20" customHeight="1" x14ac:dyDescent="0.15">
      <c r="A170" s="7">
        <v>132055913</v>
      </c>
      <c r="B170" s="8">
        <v>22684647</v>
      </c>
      <c r="C170" s="9" t="s">
        <v>417</v>
      </c>
      <c r="D170" s="9" t="s">
        <v>418</v>
      </c>
      <c r="E170" s="9" t="s">
        <v>40</v>
      </c>
      <c r="F170" s="9" t="s">
        <v>410</v>
      </c>
      <c r="G170" s="9" t="s">
        <v>54</v>
      </c>
      <c r="H170" s="9" t="s">
        <v>54</v>
      </c>
      <c r="I170" s="10">
        <v>1</v>
      </c>
      <c r="J170" s="9" t="s">
        <v>202</v>
      </c>
      <c r="K170" s="9" t="s">
        <v>420</v>
      </c>
      <c r="L170" s="10">
        <v>-9.4010768999999996</v>
      </c>
      <c r="M170" s="10">
        <v>-140.080027</v>
      </c>
      <c r="N170" s="10">
        <v>1990</v>
      </c>
      <c r="O170" s="9" t="s">
        <v>46</v>
      </c>
      <c r="P170" s="10">
        <v>2012</v>
      </c>
      <c r="Q170" s="9" t="s">
        <v>46</v>
      </c>
      <c r="R170" s="9" t="s">
        <v>47</v>
      </c>
      <c r="S170" s="9" t="s">
        <v>421</v>
      </c>
      <c r="T170" s="11"/>
      <c r="U170" s="13" t="s">
        <v>420</v>
      </c>
      <c r="V170" s="10">
        <v>-9.4010768999999996</v>
      </c>
      <c r="W170" s="10">
        <v>-140.080027</v>
      </c>
      <c r="X170" s="16">
        <v>1975</v>
      </c>
      <c r="Y170" s="25" t="s">
        <v>46</v>
      </c>
      <c r="Z170" s="16">
        <v>1980</v>
      </c>
      <c r="AA170" s="9" t="s">
        <v>46</v>
      </c>
      <c r="AB170" s="13" t="s">
        <v>532</v>
      </c>
      <c r="AC170" s="13" t="s">
        <v>535</v>
      </c>
      <c r="AD170" s="11"/>
      <c r="AE170" s="10">
        <v>-40</v>
      </c>
      <c r="AF170" s="10">
        <v>-62</v>
      </c>
      <c r="AG170" s="16">
        <v>-25</v>
      </c>
      <c r="AH170" s="16">
        <v>-30</v>
      </c>
      <c r="AI170" s="16">
        <v>10</v>
      </c>
      <c r="AJ170" s="16">
        <v>37</v>
      </c>
      <c r="AK170" s="16">
        <v>23.5</v>
      </c>
      <c r="AL170" s="16">
        <v>-27</v>
      </c>
      <c r="AM170" s="9" t="s">
        <v>57</v>
      </c>
    </row>
    <row r="171" spans="1:39" ht="17" customHeight="1" x14ac:dyDescent="0.15">
      <c r="A171" s="7">
        <v>132055913</v>
      </c>
      <c r="B171" s="8">
        <v>22684647</v>
      </c>
      <c r="C171" s="9" t="s">
        <v>417</v>
      </c>
      <c r="D171" s="9" t="s">
        <v>418</v>
      </c>
      <c r="E171" s="9" t="s">
        <v>40</v>
      </c>
      <c r="F171" s="9" t="s">
        <v>410</v>
      </c>
      <c r="G171" s="9" t="s">
        <v>54</v>
      </c>
      <c r="H171" s="9" t="s">
        <v>54</v>
      </c>
      <c r="I171" s="10">
        <v>1</v>
      </c>
      <c r="J171" s="9" t="s">
        <v>202</v>
      </c>
      <c r="K171" s="9" t="s">
        <v>423</v>
      </c>
      <c r="L171" s="10">
        <v>-10.486125599999999</v>
      </c>
      <c r="M171" s="10">
        <v>-138.64604259999999</v>
      </c>
      <c r="N171" s="10">
        <v>2007</v>
      </c>
      <c r="O171" s="9" t="s">
        <v>46</v>
      </c>
      <c r="P171" s="10">
        <v>2007</v>
      </c>
      <c r="Q171" s="9" t="s">
        <v>46</v>
      </c>
      <c r="R171" s="9" t="s">
        <v>47</v>
      </c>
      <c r="S171" s="9" t="s">
        <v>424</v>
      </c>
      <c r="T171" s="11"/>
      <c r="U171" s="9" t="s">
        <v>423</v>
      </c>
      <c r="V171" s="10">
        <v>-10.486125599999999</v>
      </c>
      <c r="W171" s="10">
        <v>-138.64604259999999</v>
      </c>
      <c r="X171" s="10">
        <v>2000</v>
      </c>
      <c r="Y171" s="9" t="s">
        <v>46</v>
      </c>
      <c r="Z171" s="10">
        <v>2000</v>
      </c>
      <c r="AA171" s="9" t="s">
        <v>46</v>
      </c>
      <c r="AB171" s="9" t="s">
        <v>294</v>
      </c>
      <c r="AC171" s="13" t="s">
        <v>422</v>
      </c>
      <c r="AD171" s="11"/>
      <c r="AE171" s="10">
        <v>-57</v>
      </c>
      <c r="AF171" s="10">
        <v>-57</v>
      </c>
      <c r="AG171" s="10">
        <v>-50</v>
      </c>
      <c r="AH171" s="10">
        <v>-50</v>
      </c>
      <c r="AI171" s="10">
        <v>7</v>
      </c>
      <c r="AJ171" s="10">
        <v>7</v>
      </c>
      <c r="AK171" s="10">
        <v>7</v>
      </c>
      <c r="AL171" s="10">
        <v>0</v>
      </c>
      <c r="AM171" s="9" t="s">
        <v>57</v>
      </c>
    </row>
    <row r="172" spans="1:39" ht="17" customHeight="1" x14ac:dyDescent="0.15">
      <c r="A172" s="7">
        <v>132468877</v>
      </c>
      <c r="B172" s="8">
        <v>132468585</v>
      </c>
      <c r="C172" s="9" t="s">
        <v>425</v>
      </c>
      <c r="D172" s="9" t="s">
        <v>426</v>
      </c>
      <c r="E172" s="9" t="s">
        <v>427</v>
      </c>
      <c r="F172" s="9" t="s">
        <v>410</v>
      </c>
      <c r="G172" s="9" t="s">
        <v>43</v>
      </c>
      <c r="H172" s="9" t="s">
        <v>43</v>
      </c>
      <c r="I172" s="10">
        <v>1</v>
      </c>
      <c r="J172" s="9" t="s">
        <v>202</v>
      </c>
      <c r="K172" s="9" t="s">
        <v>428</v>
      </c>
      <c r="L172" s="10">
        <v>-27.605991</v>
      </c>
      <c r="M172" s="10">
        <v>-144.35448600000001</v>
      </c>
      <c r="N172" s="10">
        <v>1975</v>
      </c>
      <c r="O172" s="9" t="s">
        <v>46</v>
      </c>
      <c r="P172" s="10">
        <v>1988</v>
      </c>
      <c r="Q172" s="9" t="s">
        <v>46</v>
      </c>
      <c r="R172" s="9" t="s">
        <v>47</v>
      </c>
      <c r="S172" s="9" t="s">
        <v>429</v>
      </c>
      <c r="T172" s="11"/>
      <c r="U172" s="9" t="s">
        <v>428</v>
      </c>
      <c r="V172" s="10">
        <v>-27.605991</v>
      </c>
      <c r="W172" s="10">
        <v>-144.35448600000001</v>
      </c>
      <c r="X172" s="10">
        <v>750</v>
      </c>
      <c r="Y172" s="9" t="s">
        <v>72</v>
      </c>
      <c r="Z172" s="10">
        <v>650</v>
      </c>
      <c r="AA172" s="9" t="s">
        <v>72</v>
      </c>
      <c r="AB172" s="9" t="s">
        <v>430</v>
      </c>
      <c r="AC172" s="9" t="s">
        <v>431</v>
      </c>
      <c r="AD172" s="11"/>
      <c r="AE172" s="10">
        <v>-25</v>
      </c>
      <c r="AF172" s="10">
        <v>-38</v>
      </c>
      <c r="AG172" s="10">
        <v>750</v>
      </c>
      <c r="AH172" s="10">
        <v>650</v>
      </c>
      <c r="AI172" s="10">
        <v>675</v>
      </c>
      <c r="AJ172" s="10">
        <v>788</v>
      </c>
      <c r="AK172" s="10">
        <v>731.5</v>
      </c>
      <c r="AL172" s="10">
        <v>-113</v>
      </c>
      <c r="AM172" s="9" t="s">
        <v>53</v>
      </c>
    </row>
    <row r="173" spans="1:39" ht="32" customHeight="1" x14ac:dyDescent="0.15">
      <c r="A173" s="7">
        <v>132581443</v>
      </c>
      <c r="B173" s="8">
        <v>22694927</v>
      </c>
      <c r="C173" s="9" t="s">
        <v>432</v>
      </c>
      <c r="D173" s="9" t="s">
        <v>433</v>
      </c>
      <c r="E173" s="9" t="s">
        <v>40</v>
      </c>
      <c r="F173" s="9" t="s">
        <v>434</v>
      </c>
      <c r="G173" s="9" t="s">
        <v>42</v>
      </c>
      <c r="H173" s="9" t="s">
        <v>54</v>
      </c>
      <c r="I173" s="10">
        <v>1</v>
      </c>
      <c r="J173" s="9" t="s">
        <v>202</v>
      </c>
      <c r="K173" s="9" t="s">
        <v>436</v>
      </c>
      <c r="L173" s="10">
        <v>51.180491699999997</v>
      </c>
      <c r="M173" s="10">
        <v>-4.6686877999999998</v>
      </c>
      <c r="N173" s="10">
        <v>1986</v>
      </c>
      <c r="O173" s="9" t="s">
        <v>46</v>
      </c>
      <c r="P173" s="10">
        <v>1986</v>
      </c>
      <c r="Q173" s="9" t="s">
        <v>46</v>
      </c>
      <c r="R173" s="9" t="s">
        <v>435</v>
      </c>
      <c r="S173" s="12" t="s">
        <v>437</v>
      </c>
      <c r="T173" s="9" t="s">
        <v>438</v>
      </c>
      <c r="U173" s="9" t="s">
        <v>436</v>
      </c>
      <c r="V173" s="10">
        <v>51.180491699999997</v>
      </c>
      <c r="W173" s="10">
        <v>-4.6686877999999998</v>
      </c>
      <c r="X173" s="10">
        <v>1605</v>
      </c>
      <c r="Y173" s="9" t="s">
        <v>46</v>
      </c>
      <c r="Z173" s="10">
        <v>1630</v>
      </c>
      <c r="AA173" s="9" t="s">
        <v>46</v>
      </c>
      <c r="AB173" s="9" t="s">
        <v>439</v>
      </c>
      <c r="AC173" s="9" t="s">
        <v>440</v>
      </c>
      <c r="AD173" s="11"/>
      <c r="AE173" s="10">
        <v>-36</v>
      </c>
      <c r="AF173" s="10">
        <v>-36</v>
      </c>
      <c r="AG173" s="10">
        <v>345</v>
      </c>
      <c r="AH173" s="10">
        <v>320</v>
      </c>
      <c r="AI173" s="10">
        <v>356</v>
      </c>
      <c r="AJ173" s="10">
        <v>381</v>
      </c>
      <c r="AK173" s="10">
        <v>368.5</v>
      </c>
      <c r="AL173" s="10">
        <v>-25</v>
      </c>
      <c r="AM173" s="9" t="s">
        <v>103</v>
      </c>
    </row>
    <row r="174" spans="1:39" ht="32" customHeight="1" x14ac:dyDescent="0.15">
      <c r="A174" s="7">
        <v>132581443</v>
      </c>
      <c r="B174" s="8">
        <v>22694927</v>
      </c>
      <c r="C174" s="9" t="s">
        <v>432</v>
      </c>
      <c r="D174" s="9" t="s">
        <v>433</v>
      </c>
      <c r="E174" s="9" t="s">
        <v>40</v>
      </c>
      <c r="F174" s="9" t="s">
        <v>434</v>
      </c>
      <c r="G174" s="9" t="s">
        <v>42</v>
      </c>
      <c r="H174" s="9" t="s">
        <v>58</v>
      </c>
      <c r="I174" s="10">
        <v>1</v>
      </c>
      <c r="J174" s="9" t="s">
        <v>202</v>
      </c>
      <c r="K174" s="9" t="s">
        <v>436</v>
      </c>
      <c r="L174" s="10">
        <v>51.180491699999997</v>
      </c>
      <c r="M174" s="10">
        <v>-4.6686877999999998</v>
      </c>
      <c r="N174" s="10">
        <v>1986</v>
      </c>
      <c r="O174" s="9" t="s">
        <v>46</v>
      </c>
      <c r="P174" s="10">
        <v>1987</v>
      </c>
      <c r="Q174" s="9" t="s">
        <v>46</v>
      </c>
      <c r="R174" s="9" t="s">
        <v>435</v>
      </c>
      <c r="S174" s="12" t="s">
        <v>437</v>
      </c>
      <c r="T174" s="9" t="s">
        <v>438</v>
      </c>
      <c r="U174" s="9" t="s">
        <v>441</v>
      </c>
      <c r="V174" s="10">
        <v>51.013520999999997</v>
      </c>
      <c r="W174" s="10">
        <v>-4.5169490000000003</v>
      </c>
      <c r="X174" s="10">
        <v>1801</v>
      </c>
      <c r="Y174" s="9" t="s">
        <v>46</v>
      </c>
      <c r="Z174" s="10">
        <v>1900</v>
      </c>
      <c r="AA174" s="9" t="s">
        <v>46</v>
      </c>
      <c r="AB174" s="9" t="s">
        <v>442</v>
      </c>
      <c r="AC174" s="9" t="s">
        <v>443</v>
      </c>
      <c r="AD174" s="9" t="s">
        <v>444</v>
      </c>
      <c r="AE174" s="10">
        <v>-36</v>
      </c>
      <c r="AF174" s="10">
        <v>-37</v>
      </c>
      <c r="AG174" s="10">
        <v>149</v>
      </c>
      <c r="AH174" s="10">
        <v>50</v>
      </c>
      <c r="AI174" s="10">
        <v>86</v>
      </c>
      <c r="AJ174" s="10">
        <v>186</v>
      </c>
      <c r="AK174" s="10">
        <v>136</v>
      </c>
      <c r="AL174" s="10">
        <v>-100</v>
      </c>
      <c r="AM174" s="9" t="s">
        <v>57</v>
      </c>
    </row>
    <row r="175" spans="1:39" ht="20" customHeight="1" x14ac:dyDescent="0.15">
      <c r="A175" s="7">
        <v>132616449</v>
      </c>
      <c r="B175" s="8">
        <v>22697975</v>
      </c>
      <c r="C175" s="9" t="s">
        <v>445</v>
      </c>
      <c r="D175" s="9" t="s">
        <v>446</v>
      </c>
      <c r="E175" s="9" t="s">
        <v>447</v>
      </c>
      <c r="F175" s="9" t="s">
        <v>434</v>
      </c>
      <c r="G175" s="9" t="s">
        <v>283</v>
      </c>
      <c r="H175" s="9" t="s">
        <v>54</v>
      </c>
      <c r="I175" s="10">
        <v>1</v>
      </c>
      <c r="J175" s="9" t="s">
        <v>202</v>
      </c>
      <c r="K175" s="9" t="s">
        <v>448</v>
      </c>
      <c r="L175" s="10">
        <v>-36.199421399999999</v>
      </c>
      <c r="M175" s="10">
        <v>175.41728660000001</v>
      </c>
      <c r="N175" s="10">
        <v>1982</v>
      </c>
      <c r="O175" s="9" t="s">
        <v>46</v>
      </c>
      <c r="P175" s="10">
        <v>2007</v>
      </c>
      <c r="Q175" s="9" t="s">
        <v>46</v>
      </c>
      <c r="R175" s="9" t="s">
        <v>449</v>
      </c>
      <c r="S175" s="9" t="s">
        <v>450</v>
      </c>
      <c r="T175" s="11"/>
      <c r="U175" s="9" t="s">
        <v>448</v>
      </c>
      <c r="V175" s="10">
        <v>-36.199421399999999</v>
      </c>
      <c r="W175" s="10">
        <v>175.41728660000001</v>
      </c>
      <c r="X175" s="10">
        <v>1860</v>
      </c>
      <c r="Y175" s="9" t="s">
        <v>46</v>
      </c>
      <c r="Z175" s="10">
        <v>1860</v>
      </c>
      <c r="AA175" s="9" t="s">
        <v>46</v>
      </c>
      <c r="AB175" s="9" t="s">
        <v>451</v>
      </c>
      <c r="AC175" s="9" t="s">
        <v>452</v>
      </c>
      <c r="AD175" s="11"/>
      <c r="AE175" s="10">
        <v>-32</v>
      </c>
      <c r="AF175" s="10">
        <v>-57</v>
      </c>
      <c r="AG175" s="10">
        <v>90</v>
      </c>
      <c r="AH175" s="10">
        <v>90</v>
      </c>
      <c r="AI175" s="10">
        <v>122</v>
      </c>
      <c r="AJ175" s="10">
        <v>147</v>
      </c>
      <c r="AK175" s="10">
        <v>134.5</v>
      </c>
      <c r="AL175" s="10">
        <v>-25</v>
      </c>
      <c r="AM175" s="9" t="s">
        <v>103</v>
      </c>
    </row>
    <row r="176" spans="1:39" ht="20" customHeight="1" x14ac:dyDescent="0.15">
      <c r="A176" s="7">
        <v>132616449</v>
      </c>
      <c r="B176" s="8">
        <v>22697975</v>
      </c>
      <c r="C176" s="9" t="s">
        <v>445</v>
      </c>
      <c r="D176" s="9" t="s">
        <v>446</v>
      </c>
      <c r="E176" s="9" t="s">
        <v>447</v>
      </c>
      <c r="F176" s="9" t="s">
        <v>434</v>
      </c>
      <c r="G176" s="9" t="s">
        <v>283</v>
      </c>
      <c r="H176" s="9" t="s">
        <v>58</v>
      </c>
      <c r="I176" s="10">
        <v>0</v>
      </c>
      <c r="J176" s="9" t="s">
        <v>202</v>
      </c>
      <c r="K176" s="9" t="s">
        <v>448</v>
      </c>
      <c r="L176" s="10">
        <v>-36.199421399999999</v>
      </c>
      <c r="M176" s="10">
        <v>175.41728660000001</v>
      </c>
      <c r="N176" s="10">
        <v>1982</v>
      </c>
      <c r="O176" s="9" t="s">
        <v>46</v>
      </c>
      <c r="P176" s="10">
        <v>2008</v>
      </c>
      <c r="Q176" s="9" t="s">
        <v>46</v>
      </c>
      <c r="R176" s="9" t="s">
        <v>449</v>
      </c>
      <c r="S176" s="9" t="s">
        <v>450</v>
      </c>
      <c r="T176" s="11"/>
      <c r="U176" s="9" t="s">
        <v>275</v>
      </c>
      <c r="V176" s="9" t="s">
        <v>453</v>
      </c>
      <c r="W176" s="10">
        <v>175.457168</v>
      </c>
      <c r="X176" s="10">
        <v>1772</v>
      </c>
      <c r="Y176" s="9" t="s">
        <v>46</v>
      </c>
      <c r="Z176" s="10">
        <v>1830</v>
      </c>
      <c r="AA176" s="9" t="s">
        <v>46</v>
      </c>
      <c r="AB176" s="9" t="s">
        <v>451</v>
      </c>
      <c r="AC176" s="9" t="s">
        <v>454</v>
      </c>
      <c r="AD176" s="9" t="s">
        <v>455</v>
      </c>
      <c r="AE176" s="10">
        <v>-32</v>
      </c>
      <c r="AF176" s="10">
        <v>-58</v>
      </c>
      <c r="AG176" s="10">
        <v>178</v>
      </c>
      <c r="AH176" s="10">
        <v>120</v>
      </c>
      <c r="AI176" s="10">
        <v>152</v>
      </c>
      <c r="AJ176" s="10">
        <v>236</v>
      </c>
      <c r="AK176" s="10">
        <v>194</v>
      </c>
      <c r="AL176" s="10">
        <v>-84</v>
      </c>
      <c r="AM176" s="9" t="s">
        <v>103</v>
      </c>
    </row>
    <row r="177" spans="1:39" ht="20" customHeight="1" x14ac:dyDescent="0.15">
      <c r="A177" s="7">
        <v>132616449</v>
      </c>
      <c r="B177" s="8">
        <v>22697975</v>
      </c>
      <c r="C177" s="9" t="s">
        <v>445</v>
      </c>
      <c r="D177" s="9" t="s">
        <v>446</v>
      </c>
      <c r="E177" s="9" t="s">
        <v>447</v>
      </c>
      <c r="F177" s="9" t="s">
        <v>434</v>
      </c>
      <c r="G177" s="9" t="s">
        <v>283</v>
      </c>
      <c r="H177" s="9" t="s">
        <v>43</v>
      </c>
      <c r="I177" s="10">
        <v>1</v>
      </c>
      <c r="J177" s="9" t="s">
        <v>202</v>
      </c>
      <c r="K177" s="9" t="s">
        <v>448</v>
      </c>
      <c r="L177" s="10">
        <v>-36.199421399999999</v>
      </c>
      <c r="M177" s="10">
        <v>175.41728660000001</v>
      </c>
      <c r="N177" s="10">
        <v>1982</v>
      </c>
      <c r="O177" s="9" t="s">
        <v>46</v>
      </c>
      <c r="P177" s="10">
        <v>2009</v>
      </c>
      <c r="Q177" s="9" t="s">
        <v>46</v>
      </c>
      <c r="R177" s="9" t="s">
        <v>449</v>
      </c>
      <c r="S177" s="9" t="s">
        <v>450</v>
      </c>
      <c r="T177" s="11"/>
      <c r="U177" s="9" t="s">
        <v>275</v>
      </c>
      <c r="V177" s="9" t="s">
        <v>453</v>
      </c>
      <c r="W177" s="10">
        <v>176.457168</v>
      </c>
      <c r="X177" s="10">
        <v>100</v>
      </c>
      <c r="Y177" s="9" t="s">
        <v>46</v>
      </c>
      <c r="Z177" s="10">
        <v>1200</v>
      </c>
      <c r="AA177" s="9" t="s">
        <v>46</v>
      </c>
      <c r="AB177" s="9" t="s">
        <v>196</v>
      </c>
      <c r="AC177" s="9" t="s">
        <v>197</v>
      </c>
      <c r="AD177" s="11"/>
      <c r="AE177" s="10">
        <v>-32</v>
      </c>
      <c r="AF177" s="10">
        <v>-59</v>
      </c>
      <c r="AG177" s="10">
        <v>1850</v>
      </c>
      <c r="AH177" s="10">
        <v>750</v>
      </c>
      <c r="AI177" s="10">
        <v>782</v>
      </c>
      <c r="AJ177" s="10">
        <v>1909</v>
      </c>
      <c r="AK177" s="10">
        <v>1345.5</v>
      </c>
      <c r="AL177" s="10">
        <v>-1127</v>
      </c>
      <c r="AM177" s="9" t="s">
        <v>53</v>
      </c>
    </row>
    <row r="178" spans="1:39" ht="20" customHeight="1" x14ac:dyDescent="0.15">
      <c r="A178" s="7">
        <v>132637221</v>
      </c>
      <c r="B178" s="8">
        <v>22698230</v>
      </c>
      <c r="C178" s="9" t="s">
        <v>456</v>
      </c>
      <c r="D178" s="9" t="s">
        <v>457</v>
      </c>
      <c r="E178" s="9" t="s">
        <v>40</v>
      </c>
      <c r="F178" s="9" t="s">
        <v>434</v>
      </c>
      <c r="G178" s="9" t="s">
        <v>54</v>
      </c>
      <c r="H178" s="9" t="s">
        <v>54</v>
      </c>
      <c r="I178" s="10">
        <v>1</v>
      </c>
      <c r="J178" s="9" t="s">
        <v>458</v>
      </c>
      <c r="K178" s="9" t="s">
        <v>459</v>
      </c>
      <c r="L178" s="10">
        <v>40.452542899999997</v>
      </c>
      <c r="M178" s="10">
        <v>17.157992100000001</v>
      </c>
      <c r="N178" s="10">
        <v>2009</v>
      </c>
      <c r="O178" s="9" t="s">
        <v>46</v>
      </c>
      <c r="P178" s="10">
        <v>2009</v>
      </c>
      <c r="Q178" s="9" t="s">
        <v>46</v>
      </c>
      <c r="R178" s="9" t="s">
        <v>460</v>
      </c>
      <c r="S178" s="9" t="s">
        <v>461</v>
      </c>
      <c r="T178" s="11"/>
      <c r="U178" s="9" t="s">
        <v>462</v>
      </c>
      <c r="V178" s="10">
        <v>39.231532999999999</v>
      </c>
      <c r="W178" s="10">
        <v>8.4204880000000006</v>
      </c>
      <c r="X178" s="10">
        <v>2000</v>
      </c>
      <c r="Y178" s="9" t="s">
        <v>72</v>
      </c>
      <c r="Z178" s="10">
        <v>2000</v>
      </c>
      <c r="AA178" s="9" t="s">
        <v>72</v>
      </c>
      <c r="AB178" s="9" t="s">
        <v>463</v>
      </c>
      <c r="AC178" s="9" t="s">
        <v>464</v>
      </c>
      <c r="AD178" s="11"/>
      <c r="AE178" s="10">
        <v>-59</v>
      </c>
      <c r="AF178" s="10">
        <v>-59</v>
      </c>
      <c r="AG178" s="10">
        <v>2000</v>
      </c>
      <c r="AH178" s="10">
        <v>2000</v>
      </c>
      <c r="AI178" s="10">
        <v>2059</v>
      </c>
      <c r="AJ178" s="10">
        <v>2059</v>
      </c>
      <c r="AK178" s="10">
        <v>2059</v>
      </c>
      <c r="AL178" s="10">
        <v>0</v>
      </c>
      <c r="AM178" s="9" t="s">
        <v>99</v>
      </c>
    </row>
    <row r="179" spans="1:39" s="24" customFormat="1" ht="20" customHeight="1" x14ac:dyDescent="0.15">
      <c r="A179" s="18">
        <v>132657527</v>
      </c>
      <c r="B179" s="19">
        <v>22728364</v>
      </c>
      <c r="C179" s="20" t="s">
        <v>465</v>
      </c>
      <c r="D179" s="20" t="s">
        <v>466</v>
      </c>
      <c r="E179" s="20" t="s">
        <v>467</v>
      </c>
      <c r="F179" s="20" t="s">
        <v>410</v>
      </c>
      <c r="G179" s="20" t="s">
        <v>468</v>
      </c>
      <c r="H179" s="20" t="s">
        <v>54</v>
      </c>
      <c r="I179" s="21">
        <v>1</v>
      </c>
      <c r="J179" s="20" t="s">
        <v>202</v>
      </c>
      <c r="K179" s="20" t="s">
        <v>263</v>
      </c>
      <c r="L179" s="21">
        <v>-37.1162068</v>
      </c>
      <c r="M179" s="21">
        <v>-12.282648399999999</v>
      </c>
      <c r="N179" s="21">
        <v>1869</v>
      </c>
      <c r="O179" s="20" t="s">
        <v>46</v>
      </c>
      <c r="P179" s="21">
        <v>1925</v>
      </c>
      <c r="Q179" s="20" t="s">
        <v>46</v>
      </c>
      <c r="R179" s="22" t="s">
        <v>542</v>
      </c>
      <c r="S179" s="22" t="s">
        <v>556</v>
      </c>
      <c r="T179" s="23"/>
      <c r="U179" s="20" t="s">
        <v>263</v>
      </c>
      <c r="V179" s="21">
        <v>-37.1162068</v>
      </c>
      <c r="W179" s="21">
        <v>-12.282648399999999</v>
      </c>
      <c r="X179" s="21">
        <v>1882</v>
      </c>
      <c r="Y179" s="20" t="s">
        <v>46</v>
      </c>
      <c r="Z179" s="21">
        <v>1882</v>
      </c>
      <c r="AA179" s="20" t="s">
        <v>46</v>
      </c>
      <c r="AB179" s="22" t="s">
        <v>543</v>
      </c>
      <c r="AC179" s="22" t="s">
        <v>541</v>
      </c>
      <c r="AD179" s="23"/>
      <c r="AE179" s="21">
        <f>1950-N179</f>
        <v>81</v>
      </c>
      <c r="AF179" s="21">
        <f>1950-P179</f>
        <v>25</v>
      </c>
      <c r="AG179" s="21">
        <f>1950-X179</f>
        <v>68</v>
      </c>
      <c r="AH179" s="21">
        <f>1950-Z179</f>
        <v>68</v>
      </c>
      <c r="AI179" s="21">
        <f>AH179-AE179</f>
        <v>-13</v>
      </c>
      <c r="AJ179" s="21">
        <f>AG179-AF179</f>
        <v>43</v>
      </c>
      <c r="AK179" s="21">
        <v>30.5</v>
      </c>
      <c r="AL179" s="21">
        <v>-25</v>
      </c>
      <c r="AM179" s="20" t="s">
        <v>128</v>
      </c>
    </row>
    <row r="180" spans="1:39" s="24" customFormat="1" ht="20" customHeight="1" x14ac:dyDescent="0.15">
      <c r="A180" s="18">
        <v>132657527</v>
      </c>
      <c r="B180" s="19">
        <v>22728364</v>
      </c>
      <c r="C180" s="20" t="s">
        <v>465</v>
      </c>
      <c r="D180" s="20" t="s">
        <v>466</v>
      </c>
      <c r="E180" s="20" t="s">
        <v>467</v>
      </c>
      <c r="F180" s="20" t="s">
        <v>410</v>
      </c>
      <c r="G180" s="20" t="s">
        <v>468</v>
      </c>
      <c r="H180" s="20" t="s">
        <v>59</v>
      </c>
      <c r="I180" s="21">
        <v>1</v>
      </c>
      <c r="J180" s="20" t="s">
        <v>202</v>
      </c>
      <c r="K180" s="20" t="s">
        <v>263</v>
      </c>
      <c r="L180" s="21">
        <v>-37.1162068</v>
      </c>
      <c r="M180" s="21">
        <v>-12.282648399999999</v>
      </c>
      <c r="N180" s="21">
        <v>1869</v>
      </c>
      <c r="O180" s="20" t="s">
        <v>46</v>
      </c>
      <c r="P180" s="21">
        <v>1925</v>
      </c>
      <c r="Q180" s="20" t="s">
        <v>46</v>
      </c>
      <c r="R180" s="22" t="s">
        <v>542</v>
      </c>
      <c r="S180" s="22" t="s">
        <v>556</v>
      </c>
      <c r="T180" s="23"/>
      <c r="U180" s="20" t="s">
        <v>263</v>
      </c>
      <c r="V180" s="21">
        <v>-37.1162068</v>
      </c>
      <c r="W180" s="21">
        <v>-12.282648399999999</v>
      </c>
      <c r="X180" s="21">
        <v>1701</v>
      </c>
      <c r="Y180" s="20" t="s">
        <v>46</v>
      </c>
      <c r="Z180" s="21">
        <v>1825</v>
      </c>
      <c r="AA180" s="20" t="s">
        <v>46</v>
      </c>
      <c r="AB180" s="22" t="s">
        <v>557</v>
      </c>
      <c r="AC180" s="22" t="s">
        <v>544</v>
      </c>
      <c r="AD180" s="23"/>
      <c r="AE180" s="21">
        <f>1950-N180</f>
        <v>81</v>
      </c>
      <c r="AF180" s="21">
        <f>1950-P180</f>
        <v>25</v>
      </c>
      <c r="AG180" s="21">
        <f>1950-X180</f>
        <v>249</v>
      </c>
      <c r="AH180" s="21">
        <f>1950-Z180</f>
        <v>125</v>
      </c>
      <c r="AI180" s="21">
        <f>AH180-AE180</f>
        <v>44</v>
      </c>
      <c r="AJ180" s="21">
        <f>AG180-AF180</f>
        <v>224</v>
      </c>
      <c r="AK180" s="21">
        <v>162</v>
      </c>
      <c r="AL180" s="21">
        <v>-124</v>
      </c>
      <c r="AM180" s="20" t="s">
        <v>57</v>
      </c>
    </row>
    <row r="181" spans="1:39" ht="20" customHeight="1" x14ac:dyDescent="0.15">
      <c r="A181" s="7">
        <v>132659355</v>
      </c>
      <c r="B181" s="8">
        <v>22728442</v>
      </c>
      <c r="C181" s="9" t="s">
        <v>469</v>
      </c>
      <c r="D181" s="9" t="s">
        <v>470</v>
      </c>
      <c r="E181" s="9" t="s">
        <v>40</v>
      </c>
      <c r="F181" s="9" t="s">
        <v>406</v>
      </c>
      <c r="G181" s="9" t="s">
        <v>43</v>
      </c>
      <c r="H181" s="9" t="s">
        <v>43</v>
      </c>
      <c r="I181" s="10">
        <v>1</v>
      </c>
      <c r="J181" s="9" t="s">
        <v>202</v>
      </c>
      <c r="K181" s="9" t="s">
        <v>471</v>
      </c>
      <c r="L181" s="10">
        <v>-24.678167699999999</v>
      </c>
      <c r="M181" s="10">
        <v>-124.7958691</v>
      </c>
      <c r="N181" s="10">
        <v>1922</v>
      </c>
      <c r="O181" s="9" t="s">
        <v>46</v>
      </c>
      <c r="P181" s="10">
        <v>1992</v>
      </c>
      <c r="Q181" s="9" t="s">
        <v>46</v>
      </c>
      <c r="R181" s="9" t="s">
        <v>472</v>
      </c>
      <c r="S181" s="9" t="s">
        <v>473</v>
      </c>
      <c r="T181" s="11"/>
      <c r="U181" s="9" t="s">
        <v>474</v>
      </c>
      <c r="V181" s="10">
        <v>-24.375001999999999</v>
      </c>
      <c r="W181" s="10">
        <v>-128.32248100000001</v>
      </c>
      <c r="X181" s="10">
        <v>800</v>
      </c>
      <c r="Y181" s="9" t="s">
        <v>72</v>
      </c>
      <c r="Z181" s="10">
        <v>800</v>
      </c>
      <c r="AA181" s="9" t="s">
        <v>72</v>
      </c>
      <c r="AB181" s="9" t="s">
        <v>475</v>
      </c>
      <c r="AC181" s="9" t="s">
        <v>476</v>
      </c>
      <c r="AD181" s="11"/>
      <c r="AE181" s="10">
        <v>28</v>
      </c>
      <c r="AF181" s="10">
        <v>-42</v>
      </c>
      <c r="AG181" s="10">
        <v>800</v>
      </c>
      <c r="AH181" s="10">
        <v>800</v>
      </c>
      <c r="AI181" s="10">
        <v>772</v>
      </c>
      <c r="AJ181" s="10">
        <v>842</v>
      </c>
      <c r="AK181" s="10">
        <v>807</v>
      </c>
      <c r="AL181" s="10">
        <v>-70</v>
      </c>
      <c r="AM181" s="9" t="s">
        <v>53</v>
      </c>
    </row>
    <row r="182" spans="1:39" ht="20" customHeight="1" x14ac:dyDescent="0.15">
      <c r="A182" s="7">
        <v>173465740</v>
      </c>
      <c r="B182" s="8">
        <v>22707178</v>
      </c>
      <c r="C182" s="9" t="s">
        <v>477</v>
      </c>
      <c r="D182" s="9" t="s">
        <v>478</v>
      </c>
      <c r="E182" s="9" t="s">
        <v>40</v>
      </c>
      <c r="F182" s="9" t="s">
        <v>410</v>
      </c>
      <c r="G182" s="9" t="s">
        <v>54</v>
      </c>
      <c r="H182" s="9" t="s">
        <v>54</v>
      </c>
      <c r="I182" s="10">
        <v>1</v>
      </c>
      <c r="J182" s="9" t="s">
        <v>202</v>
      </c>
      <c r="K182" s="9" t="s">
        <v>479</v>
      </c>
      <c r="L182" s="10">
        <v>-17.685289000000001</v>
      </c>
      <c r="M182" s="10">
        <v>-149.57052100000001</v>
      </c>
      <c r="N182" s="10">
        <v>2010</v>
      </c>
      <c r="O182" s="9" t="s">
        <v>46</v>
      </c>
      <c r="P182" s="10">
        <v>2010</v>
      </c>
      <c r="Q182" s="9" t="s">
        <v>46</v>
      </c>
      <c r="R182" s="9" t="s">
        <v>47</v>
      </c>
      <c r="S182" s="9" t="s">
        <v>480</v>
      </c>
      <c r="T182" s="11"/>
      <c r="U182" s="9" t="s">
        <v>122</v>
      </c>
      <c r="V182" s="10">
        <v>-17.687343899999998</v>
      </c>
      <c r="W182" s="10">
        <v>-149.44516809999999</v>
      </c>
      <c r="X182" s="10">
        <v>1767</v>
      </c>
      <c r="Y182" s="9" t="s">
        <v>46</v>
      </c>
      <c r="Z182" s="10">
        <v>1923</v>
      </c>
      <c r="AA182" s="9" t="s">
        <v>46</v>
      </c>
      <c r="AB182" s="9" t="s">
        <v>124</v>
      </c>
      <c r="AC182" s="9" t="s">
        <v>129</v>
      </c>
      <c r="AD182" s="9" t="s">
        <v>126</v>
      </c>
      <c r="AE182" s="10">
        <v>-60</v>
      </c>
      <c r="AF182" s="10">
        <v>-60</v>
      </c>
      <c r="AG182" s="10">
        <v>183</v>
      </c>
      <c r="AH182" s="10">
        <v>27</v>
      </c>
      <c r="AI182" s="10">
        <v>87</v>
      </c>
      <c r="AJ182" s="10">
        <v>243</v>
      </c>
      <c r="AK182" s="10">
        <v>165</v>
      </c>
      <c r="AL182" s="10">
        <v>-156</v>
      </c>
      <c r="AM182" s="9" t="s">
        <v>57</v>
      </c>
    </row>
    <row r="183" spans="1:39" ht="20" customHeight="1" x14ac:dyDescent="0.15">
      <c r="A183" s="7">
        <v>177958015</v>
      </c>
      <c r="B183" s="8">
        <v>22714018</v>
      </c>
      <c r="C183" s="9" t="s">
        <v>481</v>
      </c>
      <c r="D183" s="9" t="s">
        <v>482</v>
      </c>
      <c r="E183" s="9" t="s">
        <v>40</v>
      </c>
      <c r="F183" s="9" t="s">
        <v>434</v>
      </c>
      <c r="G183" s="9" t="s">
        <v>483</v>
      </c>
      <c r="H183" s="9" t="s">
        <v>54</v>
      </c>
      <c r="I183" s="10">
        <v>1</v>
      </c>
      <c r="J183" s="9" t="s">
        <v>202</v>
      </c>
      <c r="K183" s="9" t="s">
        <v>484</v>
      </c>
      <c r="L183" s="10">
        <v>-4.3500399999999999</v>
      </c>
      <c r="M183" s="10">
        <v>55.637309000000002</v>
      </c>
      <c r="N183" s="10">
        <v>2013</v>
      </c>
      <c r="O183" s="9" t="s">
        <v>46</v>
      </c>
      <c r="P183" s="10">
        <v>2013</v>
      </c>
      <c r="Q183" s="9" t="s">
        <v>46</v>
      </c>
      <c r="R183" s="9" t="s">
        <v>47</v>
      </c>
      <c r="S183" s="9" t="s">
        <v>485</v>
      </c>
      <c r="T183" s="11"/>
      <c r="U183" s="9" t="s">
        <v>484</v>
      </c>
      <c r="V183" s="10">
        <v>-4.3500399999999999</v>
      </c>
      <c r="W183" s="10">
        <v>55.637309000000002</v>
      </c>
      <c r="X183" s="10">
        <v>0</v>
      </c>
      <c r="Y183" s="9" t="s">
        <v>72</v>
      </c>
      <c r="Z183" s="10">
        <v>0</v>
      </c>
      <c r="AA183" s="9" t="s">
        <v>72</v>
      </c>
      <c r="AB183" s="9" t="s">
        <v>486</v>
      </c>
      <c r="AC183" s="9" t="s">
        <v>487</v>
      </c>
      <c r="AD183" s="11"/>
      <c r="AE183" s="10">
        <v>-63</v>
      </c>
      <c r="AF183" s="10">
        <v>-63</v>
      </c>
      <c r="AG183" s="10">
        <v>0</v>
      </c>
      <c r="AH183" s="10">
        <v>0</v>
      </c>
      <c r="AI183" s="10">
        <v>63</v>
      </c>
      <c r="AJ183" s="10">
        <v>63</v>
      </c>
      <c r="AK183" s="10">
        <v>63</v>
      </c>
      <c r="AL183" s="10">
        <v>0</v>
      </c>
      <c r="AM183" s="9" t="s">
        <v>57</v>
      </c>
    </row>
    <row r="184" spans="1:39" ht="20" customHeight="1" x14ac:dyDescent="0.15">
      <c r="A184" s="7">
        <v>177958015</v>
      </c>
      <c r="B184" s="8">
        <v>22714018</v>
      </c>
      <c r="C184" s="9" t="s">
        <v>481</v>
      </c>
      <c r="D184" s="9" t="s">
        <v>482</v>
      </c>
      <c r="E184" s="9" t="s">
        <v>40</v>
      </c>
      <c r="F184" s="9" t="s">
        <v>434</v>
      </c>
      <c r="G184" s="9" t="s">
        <v>483</v>
      </c>
      <c r="H184" s="9" t="s">
        <v>58</v>
      </c>
      <c r="I184" s="10">
        <v>1</v>
      </c>
      <c r="J184" s="9" t="s">
        <v>202</v>
      </c>
      <c r="K184" s="9" t="s">
        <v>484</v>
      </c>
      <c r="L184" s="10">
        <v>-4.3500399999999999</v>
      </c>
      <c r="M184" s="10">
        <v>55.637309000000002</v>
      </c>
      <c r="N184" s="10">
        <v>2013</v>
      </c>
      <c r="O184" s="9" t="s">
        <v>46</v>
      </c>
      <c r="P184" s="10">
        <v>2014</v>
      </c>
      <c r="Q184" s="9" t="s">
        <v>46</v>
      </c>
      <c r="R184" s="9" t="s">
        <v>47</v>
      </c>
      <c r="S184" s="9" t="s">
        <v>485</v>
      </c>
      <c r="T184" s="11"/>
      <c r="U184" s="9" t="s">
        <v>484</v>
      </c>
      <c r="V184" s="10">
        <v>-4.3500399999999999</v>
      </c>
      <c r="W184" s="10">
        <v>55.637309000000002</v>
      </c>
      <c r="X184" s="10">
        <v>0</v>
      </c>
      <c r="Y184" s="9" t="s">
        <v>72</v>
      </c>
      <c r="Z184" s="10">
        <v>0</v>
      </c>
      <c r="AA184" s="9" t="s">
        <v>72</v>
      </c>
      <c r="AB184" s="9" t="s">
        <v>486</v>
      </c>
      <c r="AC184" s="9" t="s">
        <v>487</v>
      </c>
      <c r="AD184" s="11"/>
      <c r="AE184" s="10">
        <v>-63</v>
      </c>
      <c r="AF184" s="10">
        <v>-64</v>
      </c>
      <c r="AG184" s="10">
        <v>0</v>
      </c>
      <c r="AH184" s="10">
        <v>0</v>
      </c>
      <c r="AI184" s="10">
        <v>63</v>
      </c>
      <c r="AJ184" s="10">
        <v>64</v>
      </c>
      <c r="AK184" s="10">
        <v>63.5</v>
      </c>
      <c r="AL184" s="10">
        <v>-1</v>
      </c>
      <c r="AM184" s="9" t="s">
        <v>57</v>
      </c>
    </row>
    <row r="185" spans="1:39" ht="20" customHeight="1" x14ac:dyDescent="0.15">
      <c r="A185" s="7">
        <v>179276878</v>
      </c>
      <c r="B185" s="8">
        <v>22709978</v>
      </c>
      <c r="C185" s="9" t="s">
        <v>488</v>
      </c>
      <c r="D185" s="9" t="s">
        <v>489</v>
      </c>
      <c r="E185" s="9" t="s">
        <v>40</v>
      </c>
      <c r="F185" s="9" t="s">
        <v>406</v>
      </c>
      <c r="G185" s="9" t="s">
        <v>483</v>
      </c>
      <c r="H185" s="9" t="s">
        <v>54</v>
      </c>
      <c r="I185" s="10">
        <v>1</v>
      </c>
      <c r="J185" s="9" t="s">
        <v>202</v>
      </c>
      <c r="K185" s="9" t="s">
        <v>490</v>
      </c>
      <c r="L185" s="10">
        <v>-7.0070725999999999</v>
      </c>
      <c r="M185" s="10">
        <v>52.728267199999998</v>
      </c>
      <c r="N185" s="10">
        <v>1960</v>
      </c>
      <c r="O185" s="9" t="s">
        <v>46</v>
      </c>
      <c r="P185" s="10">
        <v>1960</v>
      </c>
      <c r="Q185" s="9" t="s">
        <v>46</v>
      </c>
      <c r="R185" s="9" t="s">
        <v>47</v>
      </c>
      <c r="S185" s="9" t="s">
        <v>491</v>
      </c>
      <c r="T185" s="11"/>
      <c r="U185" s="9" t="s">
        <v>492</v>
      </c>
      <c r="V185" s="10">
        <v>-4.4865659999999998</v>
      </c>
      <c r="W185" s="10">
        <v>55.227846999999997</v>
      </c>
      <c r="X185" s="10">
        <v>1787</v>
      </c>
      <c r="Y185" s="9" t="s">
        <v>46</v>
      </c>
      <c r="Z185" s="10">
        <v>1787</v>
      </c>
      <c r="AA185" s="9" t="s">
        <v>46</v>
      </c>
      <c r="AB185" s="9" t="s">
        <v>75</v>
      </c>
      <c r="AC185" s="9" t="s">
        <v>493</v>
      </c>
      <c r="AD185" s="11"/>
      <c r="AE185" s="10">
        <v>-10</v>
      </c>
      <c r="AF185" s="10">
        <v>-10</v>
      </c>
      <c r="AG185" s="10">
        <v>163</v>
      </c>
      <c r="AH185" s="10">
        <v>163</v>
      </c>
      <c r="AI185" s="10">
        <v>173</v>
      </c>
      <c r="AJ185" s="10">
        <v>173</v>
      </c>
      <c r="AK185" s="10">
        <v>173</v>
      </c>
      <c r="AL185" s="10">
        <v>0</v>
      </c>
      <c r="AM185" s="9" t="s">
        <v>103</v>
      </c>
    </row>
    <row r="186" spans="1:39" ht="20" customHeight="1" x14ac:dyDescent="0.15">
      <c r="A186" s="7">
        <v>179276878</v>
      </c>
      <c r="B186" s="8">
        <v>22709978</v>
      </c>
      <c r="C186" s="9" t="s">
        <v>488</v>
      </c>
      <c r="D186" s="9" t="s">
        <v>489</v>
      </c>
      <c r="E186" s="9" t="s">
        <v>40</v>
      </c>
      <c r="F186" s="9" t="s">
        <v>406</v>
      </c>
      <c r="G186" s="9" t="s">
        <v>483</v>
      </c>
      <c r="H186" s="9" t="s">
        <v>54</v>
      </c>
      <c r="I186" s="10">
        <v>1</v>
      </c>
      <c r="J186" s="9" t="s">
        <v>202</v>
      </c>
      <c r="K186" s="9" t="s">
        <v>494</v>
      </c>
      <c r="L186" s="10">
        <v>-4.6828640000000004</v>
      </c>
      <c r="M186" s="10">
        <v>55.480736999999998</v>
      </c>
      <c r="N186" s="10">
        <v>1880</v>
      </c>
      <c r="O186" s="9" t="s">
        <v>46</v>
      </c>
      <c r="P186" s="10">
        <v>1880</v>
      </c>
      <c r="Q186" s="9" t="s">
        <v>46</v>
      </c>
      <c r="R186" s="9" t="s">
        <v>495</v>
      </c>
      <c r="S186" s="9" t="s">
        <v>496</v>
      </c>
      <c r="T186" s="11"/>
      <c r="U186" s="9" t="s">
        <v>494</v>
      </c>
      <c r="V186" s="10">
        <v>-4.6828640000000004</v>
      </c>
      <c r="W186" s="10">
        <v>55.480736999999998</v>
      </c>
      <c r="X186" s="10">
        <v>1748</v>
      </c>
      <c r="Y186" s="9" t="s">
        <v>46</v>
      </c>
      <c r="Z186" s="10">
        <v>1773</v>
      </c>
      <c r="AA186" s="9" t="s">
        <v>46</v>
      </c>
      <c r="AB186" s="9" t="s">
        <v>497</v>
      </c>
      <c r="AC186" s="9" t="s">
        <v>498</v>
      </c>
      <c r="AD186" s="11"/>
      <c r="AE186" s="10">
        <v>70</v>
      </c>
      <c r="AF186" s="10">
        <v>70</v>
      </c>
      <c r="AG186" s="10">
        <v>202</v>
      </c>
      <c r="AH186" s="10">
        <v>177</v>
      </c>
      <c r="AI186" s="10">
        <v>107</v>
      </c>
      <c r="AJ186" s="10">
        <v>132</v>
      </c>
      <c r="AK186" s="10">
        <v>119.5</v>
      </c>
      <c r="AL186" s="10">
        <v>-25</v>
      </c>
      <c r="AM186" s="9" t="s">
        <v>103</v>
      </c>
    </row>
    <row r="187" spans="1:39" ht="20" customHeight="1" x14ac:dyDescent="0.15">
      <c r="A187" s="7">
        <v>179276878</v>
      </c>
      <c r="B187" s="8">
        <v>22709978</v>
      </c>
      <c r="C187" s="9" t="s">
        <v>488</v>
      </c>
      <c r="D187" s="9" t="s">
        <v>489</v>
      </c>
      <c r="E187" s="9" t="s">
        <v>40</v>
      </c>
      <c r="F187" s="9" t="s">
        <v>406</v>
      </c>
      <c r="G187" s="9" t="s">
        <v>483</v>
      </c>
      <c r="H187" s="9" t="s">
        <v>54</v>
      </c>
      <c r="I187" s="10">
        <v>1</v>
      </c>
      <c r="J187" s="9" t="s">
        <v>202</v>
      </c>
      <c r="K187" s="9" t="s">
        <v>494</v>
      </c>
      <c r="L187" s="10">
        <v>-4.6828640000000004</v>
      </c>
      <c r="M187" s="10">
        <v>55.480736999999998</v>
      </c>
      <c r="N187" s="10">
        <v>1880</v>
      </c>
      <c r="O187" s="9" t="s">
        <v>46</v>
      </c>
      <c r="P187" s="10">
        <v>1881</v>
      </c>
      <c r="Q187" s="9" t="s">
        <v>46</v>
      </c>
      <c r="R187" s="9" t="s">
        <v>495</v>
      </c>
      <c r="S187" s="9" t="s">
        <v>496</v>
      </c>
      <c r="T187" s="11"/>
      <c r="U187" s="9" t="s">
        <v>494</v>
      </c>
      <c r="V187" s="10">
        <v>-4.6828640000000004</v>
      </c>
      <c r="W187" s="10">
        <v>55.480736999999998</v>
      </c>
      <c r="X187" s="10">
        <v>1975</v>
      </c>
      <c r="Y187" s="9" t="s">
        <v>46</v>
      </c>
      <c r="Z187" s="10">
        <v>1994</v>
      </c>
      <c r="AA187" s="9" t="s">
        <v>46</v>
      </c>
      <c r="AB187" s="9" t="s">
        <v>75</v>
      </c>
      <c r="AC187" s="9" t="s">
        <v>499</v>
      </c>
      <c r="AD187" s="11"/>
      <c r="AE187" s="10">
        <v>70</v>
      </c>
      <c r="AF187" s="10">
        <v>69</v>
      </c>
      <c r="AG187" s="10">
        <v>-25</v>
      </c>
      <c r="AH187" s="10">
        <v>-44</v>
      </c>
      <c r="AI187" s="10">
        <v>-114</v>
      </c>
      <c r="AJ187" s="10">
        <v>-94</v>
      </c>
      <c r="AK187" s="10">
        <v>-104</v>
      </c>
      <c r="AL187" s="10">
        <v>-20</v>
      </c>
      <c r="AM187" s="9" t="s">
        <v>86</v>
      </c>
    </row>
    <row r="188" spans="1:39" ht="20" customHeight="1" x14ac:dyDescent="0.15">
      <c r="A188" s="7">
        <v>179276878</v>
      </c>
      <c r="B188" s="8">
        <v>22709978</v>
      </c>
      <c r="C188" s="9" t="s">
        <v>488</v>
      </c>
      <c r="D188" s="9" t="s">
        <v>489</v>
      </c>
      <c r="E188" s="9" t="s">
        <v>40</v>
      </c>
      <c r="F188" s="9" t="s">
        <v>406</v>
      </c>
      <c r="G188" s="9" t="s">
        <v>483</v>
      </c>
      <c r="H188" s="9" t="s">
        <v>54</v>
      </c>
      <c r="I188" s="10">
        <v>1</v>
      </c>
      <c r="J188" s="9" t="s">
        <v>202</v>
      </c>
      <c r="K188" s="9" t="s">
        <v>500</v>
      </c>
      <c r="L188" s="10">
        <v>-4.341863</v>
      </c>
      <c r="M188" s="10">
        <v>55.920670000000001</v>
      </c>
      <c r="N188" s="10">
        <v>1900</v>
      </c>
      <c r="O188" s="9" t="s">
        <v>46</v>
      </c>
      <c r="P188" s="10">
        <v>1975</v>
      </c>
      <c r="Q188" s="9" t="s">
        <v>46</v>
      </c>
      <c r="R188" s="9" t="s">
        <v>495</v>
      </c>
      <c r="S188" s="9" t="s">
        <v>501</v>
      </c>
      <c r="T188" s="11"/>
      <c r="U188" s="9" t="s">
        <v>500</v>
      </c>
      <c r="V188" s="10">
        <v>-4.341863</v>
      </c>
      <c r="W188" s="10">
        <v>55.920670000000001</v>
      </c>
      <c r="X188" s="10">
        <v>1787</v>
      </c>
      <c r="Y188" s="9" t="s">
        <v>46</v>
      </c>
      <c r="Z188" s="10">
        <v>1787</v>
      </c>
      <c r="AA188" s="9" t="s">
        <v>46</v>
      </c>
      <c r="AB188" s="9" t="s">
        <v>75</v>
      </c>
      <c r="AC188" s="9" t="s">
        <v>493</v>
      </c>
      <c r="AD188" s="11"/>
      <c r="AE188" s="10">
        <v>50</v>
      </c>
      <c r="AF188" s="10">
        <v>-25</v>
      </c>
      <c r="AG188" s="10">
        <v>163</v>
      </c>
      <c r="AH188" s="10">
        <v>163</v>
      </c>
      <c r="AI188" s="10">
        <v>113</v>
      </c>
      <c r="AJ188" s="10">
        <v>188</v>
      </c>
      <c r="AK188" s="10">
        <v>150.5</v>
      </c>
      <c r="AL188" s="10">
        <v>-75</v>
      </c>
      <c r="AM188" s="9" t="s">
        <v>103</v>
      </c>
    </row>
    <row r="189" spans="1:39" ht="20" customHeight="1" x14ac:dyDescent="0.15">
      <c r="A189" s="7">
        <v>179276878</v>
      </c>
      <c r="B189" s="8">
        <v>22709978</v>
      </c>
      <c r="C189" s="9" t="s">
        <v>488</v>
      </c>
      <c r="D189" s="9" t="s">
        <v>489</v>
      </c>
      <c r="E189" s="9" t="s">
        <v>40</v>
      </c>
      <c r="F189" s="9" t="s">
        <v>406</v>
      </c>
      <c r="G189" s="9" t="s">
        <v>483</v>
      </c>
      <c r="H189" s="9" t="s">
        <v>58</v>
      </c>
      <c r="I189" s="10">
        <v>1</v>
      </c>
      <c r="J189" s="9" t="s">
        <v>202</v>
      </c>
      <c r="K189" s="9" t="s">
        <v>500</v>
      </c>
      <c r="L189" s="10">
        <v>-4.341863</v>
      </c>
      <c r="M189" s="10">
        <v>55.920670000000001</v>
      </c>
      <c r="N189" s="10">
        <v>1900</v>
      </c>
      <c r="O189" s="9" t="s">
        <v>46</v>
      </c>
      <c r="P189" s="10">
        <v>1976</v>
      </c>
      <c r="Q189" s="9" t="s">
        <v>46</v>
      </c>
      <c r="R189" s="9" t="s">
        <v>495</v>
      </c>
      <c r="S189" s="9" t="s">
        <v>501</v>
      </c>
      <c r="T189" s="11"/>
      <c r="U189" s="9" t="s">
        <v>500</v>
      </c>
      <c r="V189" s="10">
        <v>-4.341863</v>
      </c>
      <c r="W189" s="10">
        <v>55.920670000000001</v>
      </c>
      <c r="X189" s="10">
        <v>0</v>
      </c>
      <c r="Y189" s="9" t="s">
        <v>72</v>
      </c>
      <c r="Z189" s="10">
        <v>0</v>
      </c>
      <c r="AA189" s="9" t="s">
        <v>72</v>
      </c>
      <c r="AB189" s="9" t="s">
        <v>75</v>
      </c>
      <c r="AC189" s="9" t="s">
        <v>499</v>
      </c>
      <c r="AD189" s="11"/>
      <c r="AE189" s="10">
        <v>50</v>
      </c>
      <c r="AF189" s="10">
        <v>-26</v>
      </c>
      <c r="AG189" s="10">
        <v>0</v>
      </c>
      <c r="AH189" s="10">
        <v>0</v>
      </c>
      <c r="AI189" s="10">
        <v>-50</v>
      </c>
      <c r="AJ189" s="10">
        <v>26</v>
      </c>
      <c r="AK189" s="10">
        <v>-12</v>
      </c>
      <c r="AL189" s="10">
        <v>-76</v>
      </c>
      <c r="AM189" s="9" t="s">
        <v>128</v>
      </c>
    </row>
    <row r="190" spans="1:39" ht="20" customHeight="1" x14ac:dyDescent="0.15">
      <c r="A190" s="7">
        <v>179276878</v>
      </c>
      <c r="B190" s="8">
        <v>22709978</v>
      </c>
      <c r="C190" s="9" t="s">
        <v>488</v>
      </c>
      <c r="D190" s="9" t="s">
        <v>489</v>
      </c>
      <c r="E190" s="9" t="s">
        <v>40</v>
      </c>
      <c r="F190" s="9" t="s">
        <v>406</v>
      </c>
      <c r="G190" s="9" t="s">
        <v>483</v>
      </c>
      <c r="H190" s="9" t="s">
        <v>54</v>
      </c>
      <c r="I190" s="10">
        <v>1</v>
      </c>
      <c r="J190" s="9" t="s">
        <v>202</v>
      </c>
      <c r="K190" s="9" t="s">
        <v>502</v>
      </c>
      <c r="L190" s="10">
        <v>-4.2124332999999998</v>
      </c>
      <c r="M190" s="10">
        <v>55.666627900000002</v>
      </c>
      <c r="N190" s="10">
        <v>1900</v>
      </c>
      <c r="O190" s="9" t="s">
        <v>46</v>
      </c>
      <c r="P190" s="10">
        <v>1975</v>
      </c>
      <c r="Q190" s="9" t="s">
        <v>46</v>
      </c>
      <c r="R190" s="9" t="s">
        <v>495</v>
      </c>
      <c r="S190" s="9" t="s">
        <v>501</v>
      </c>
      <c r="T190" s="11"/>
      <c r="U190" s="9" t="s">
        <v>502</v>
      </c>
      <c r="V190" s="10">
        <v>-4.2124332999999998</v>
      </c>
      <c r="W190" s="10">
        <v>55.666627900000002</v>
      </c>
      <c r="X190" s="10">
        <v>0</v>
      </c>
      <c r="Y190" s="9" t="s">
        <v>72</v>
      </c>
      <c r="Z190" s="10">
        <v>0</v>
      </c>
      <c r="AA190" s="9" t="s">
        <v>72</v>
      </c>
      <c r="AB190" s="9" t="s">
        <v>75</v>
      </c>
      <c r="AC190" s="9" t="s">
        <v>503</v>
      </c>
      <c r="AD190" s="11"/>
      <c r="AE190" s="10">
        <v>50</v>
      </c>
      <c r="AF190" s="10">
        <v>-25</v>
      </c>
      <c r="AG190" s="10">
        <v>0</v>
      </c>
      <c r="AH190" s="10">
        <v>0</v>
      </c>
      <c r="AI190" s="10">
        <v>-50</v>
      </c>
      <c r="AJ190" s="10">
        <v>25</v>
      </c>
      <c r="AK190" s="10">
        <v>-12.5</v>
      </c>
      <c r="AL190" s="10">
        <v>-75</v>
      </c>
      <c r="AM190" s="9" t="s">
        <v>128</v>
      </c>
    </row>
    <row r="191" spans="1:39" ht="20" customHeight="1" x14ac:dyDescent="0.15">
      <c r="A191" s="7">
        <v>179276878</v>
      </c>
      <c r="B191" s="8">
        <v>22709978</v>
      </c>
      <c r="C191" s="9" t="s">
        <v>488</v>
      </c>
      <c r="D191" s="9" t="s">
        <v>489</v>
      </c>
      <c r="E191" s="9" t="s">
        <v>40</v>
      </c>
      <c r="F191" s="9" t="s">
        <v>406</v>
      </c>
      <c r="G191" s="9" t="s">
        <v>483</v>
      </c>
      <c r="H191" s="9" t="s">
        <v>58</v>
      </c>
      <c r="I191" s="10">
        <v>1</v>
      </c>
      <c r="J191" s="9" t="s">
        <v>202</v>
      </c>
      <c r="K191" s="9" t="s">
        <v>502</v>
      </c>
      <c r="L191" s="10">
        <v>-4.2124332999999998</v>
      </c>
      <c r="M191" s="10">
        <v>55.666627900000002</v>
      </c>
      <c r="N191" s="10">
        <v>1900</v>
      </c>
      <c r="O191" s="9" t="s">
        <v>46</v>
      </c>
      <c r="P191" s="10">
        <v>1976</v>
      </c>
      <c r="Q191" s="9" t="s">
        <v>46</v>
      </c>
      <c r="R191" s="9" t="s">
        <v>495</v>
      </c>
      <c r="S191" s="9" t="s">
        <v>501</v>
      </c>
      <c r="T191" s="11"/>
      <c r="U191" s="9" t="s">
        <v>502</v>
      </c>
      <c r="V191" s="10">
        <v>-4.2124332999999998</v>
      </c>
      <c r="W191" s="10">
        <v>55.666627900000002</v>
      </c>
      <c r="X191" s="10">
        <v>0</v>
      </c>
      <c r="Y191" s="9" t="s">
        <v>72</v>
      </c>
      <c r="Z191" s="10">
        <v>0</v>
      </c>
      <c r="AA191" s="9" t="s">
        <v>72</v>
      </c>
      <c r="AB191" s="9" t="s">
        <v>75</v>
      </c>
      <c r="AC191" s="9" t="s">
        <v>504</v>
      </c>
      <c r="AD191" s="11"/>
      <c r="AE191" s="10">
        <v>50</v>
      </c>
      <c r="AF191" s="10">
        <v>-26</v>
      </c>
      <c r="AG191" s="10">
        <v>0</v>
      </c>
      <c r="AH191" s="10">
        <v>0</v>
      </c>
      <c r="AI191" s="10">
        <v>-50</v>
      </c>
      <c r="AJ191" s="10">
        <v>26</v>
      </c>
      <c r="AK191" s="10">
        <v>-12</v>
      </c>
      <c r="AL191" s="10">
        <v>-76</v>
      </c>
      <c r="AM191" s="9" t="s">
        <v>128</v>
      </c>
    </row>
    <row r="192" spans="1:39" ht="20" customHeight="1" x14ac:dyDescent="0.15">
      <c r="A192" s="7">
        <v>180893939</v>
      </c>
      <c r="B192" s="8">
        <v>22694903</v>
      </c>
      <c r="C192" s="9" t="s">
        <v>505</v>
      </c>
      <c r="D192" s="9" t="s">
        <v>506</v>
      </c>
      <c r="E192" s="9" t="s">
        <v>40</v>
      </c>
      <c r="F192" s="9" t="s">
        <v>507</v>
      </c>
      <c r="G192" s="9" t="s">
        <v>483</v>
      </c>
      <c r="H192" s="9" t="s">
        <v>54</v>
      </c>
      <c r="I192" s="10">
        <v>1</v>
      </c>
      <c r="J192" s="9" t="s">
        <v>202</v>
      </c>
      <c r="K192" s="9" t="s">
        <v>509</v>
      </c>
      <c r="L192" s="10">
        <v>34.010708700000002</v>
      </c>
      <c r="M192" s="10">
        <v>-119.424581</v>
      </c>
      <c r="N192" s="10">
        <v>1910</v>
      </c>
      <c r="O192" s="9" t="s">
        <v>46</v>
      </c>
      <c r="P192" s="10">
        <v>1910</v>
      </c>
      <c r="Q192" s="9" t="s">
        <v>46</v>
      </c>
      <c r="R192" s="9" t="s">
        <v>508</v>
      </c>
      <c r="S192" s="9" t="s">
        <v>510</v>
      </c>
      <c r="T192" s="9" t="s">
        <v>511</v>
      </c>
      <c r="U192" s="9" t="s">
        <v>509</v>
      </c>
      <c r="V192" s="10">
        <v>34.010708700000002</v>
      </c>
      <c r="W192" s="10">
        <v>-119.424581</v>
      </c>
      <c r="X192" s="10">
        <v>1914</v>
      </c>
      <c r="Y192" s="9" t="s">
        <v>46</v>
      </c>
      <c r="Z192" s="10">
        <v>1938</v>
      </c>
      <c r="AA192" s="9" t="s">
        <v>46</v>
      </c>
      <c r="AB192" s="9" t="s">
        <v>512</v>
      </c>
      <c r="AC192" s="9" t="s">
        <v>513</v>
      </c>
      <c r="AD192" s="11"/>
      <c r="AE192" s="10">
        <v>40</v>
      </c>
      <c r="AF192" s="10">
        <v>40</v>
      </c>
      <c r="AG192" s="10">
        <v>36</v>
      </c>
      <c r="AH192" s="10">
        <v>12</v>
      </c>
      <c r="AI192" s="10">
        <v>-28</v>
      </c>
      <c r="AJ192" s="10">
        <v>-4</v>
      </c>
      <c r="AK192" s="10">
        <v>-16</v>
      </c>
      <c r="AL192" s="10">
        <v>-24</v>
      </c>
      <c r="AM192" s="9" t="s">
        <v>86</v>
      </c>
    </row>
    <row r="193" spans="1:39" ht="20" customHeight="1" x14ac:dyDescent="0.15">
      <c r="A193" s="7">
        <v>198532259</v>
      </c>
      <c r="B193" s="8">
        <v>104062579</v>
      </c>
      <c r="C193" s="9" t="s">
        <v>514</v>
      </c>
      <c r="D193" s="9" t="s">
        <v>515</v>
      </c>
      <c r="E193" s="9" t="s">
        <v>40</v>
      </c>
      <c r="F193" s="9" t="s">
        <v>410</v>
      </c>
      <c r="G193" s="9" t="s">
        <v>468</v>
      </c>
      <c r="H193" s="9" t="s">
        <v>54</v>
      </c>
      <c r="I193" s="10">
        <v>1</v>
      </c>
      <c r="J193" s="9" t="s">
        <v>202</v>
      </c>
      <c r="K193" s="9" t="s">
        <v>517</v>
      </c>
      <c r="L193" s="10">
        <v>-38.723013999999999</v>
      </c>
      <c r="M193" s="10">
        <v>77.519947999999999</v>
      </c>
      <c r="N193" s="10">
        <v>1995</v>
      </c>
      <c r="O193" s="9" t="s">
        <v>46</v>
      </c>
      <c r="P193" s="10">
        <v>1999</v>
      </c>
      <c r="Q193" s="9" t="s">
        <v>46</v>
      </c>
      <c r="R193" s="9" t="s">
        <v>518</v>
      </c>
      <c r="S193" s="9" t="s">
        <v>519</v>
      </c>
      <c r="T193" s="11"/>
      <c r="U193" s="9" t="s">
        <v>517</v>
      </c>
      <c r="V193" s="10">
        <v>-38.723013999999999</v>
      </c>
      <c r="W193" s="10">
        <v>77.519947999999999</v>
      </c>
      <c r="X193" s="10">
        <v>1792</v>
      </c>
      <c r="Y193" s="9" t="s">
        <v>46</v>
      </c>
      <c r="Z193" s="10">
        <v>1874</v>
      </c>
      <c r="AA193" s="9" t="s">
        <v>46</v>
      </c>
      <c r="AB193" s="9" t="s">
        <v>516</v>
      </c>
      <c r="AC193" s="9" t="s">
        <v>520</v>
      </c>
      <c r="AD193" s="11"/>
      <c r="AE193" s="10">
        <v>-45</v>
      </c>
      <c r="AF193" s="10">
        <v>-49</v>
      </c>
      <c r="AG193" s="10">
        <v>158</v>
      </c>
      <c r="AH193" s="10">
        <v>76</v>
      </c>
      <c r="AI193" s="10">
        <v>121</v>
      </c>
      <c r="AJ193" s="10">
        <v>207</v>
      </c>
      <c r="AK193" s="10">
        <v>164</v>
      </c>
      <c r="AL193" s="10">
        <v>-86</v>
      </c>
      <c r="AM193" s="9" t="s">
        <v>103</v>
      </c>
    </row>
    <row r="194" spans="1:39" ht="20" customHeight="1" x14ac:dyDescent="0.15">
      <c r="A194" s="7">
        <v>198532259</v>
      </c>
      <c r="B194" s="8">
        <v>104062579</v>
      </c>
      <c r="C194" s="9" t="s">
        <v>514</v>
      </c>
      <c r="D194" s="9" t="s">
        <v>515</v>
      </c>
      <c r="E194" s="9" t="s">
        <v>40</v>
      </c>
      <c r="F194" s="9" t="s">
        <v>410</v>
      </c>
      <c r="G194" s="9" t="s">
        <v>468</v>
      </c>
      <c r="H194" s="9" t="s">
        <v>59</v>
      </c>
      <c r="I194" s="10">
        <v>1</v>
      </c>
      <c r="J194" s="9" t="s">
        <v>202</v>
      </c>
      <c r="K194" s="9" t="s">
        <v>517</v>
      </c>
      <c r="L194" s="10">
        <v>-38.723013999999999</v>
      </c>
      <c r="M194" s="10">
        <v>77.519947999999999</v>
      </c>
      <c r="N194" s="10">
        <v>1995</v>
      </c>
      <c r="O194" s="9" t="s">
        <v>46</v>
      </c>
      <c r="P194" s="10">
        <v>1999</v>
      </c>
      <c r="Q194" s="9" t="s">
        <v>46</v>
      </c>
      <c r="R194" s="9" t="s">
        <v>518</v>
      </c>
      <c r="S194" s="9" t="s">
        <v>519</v>
      </c>
      <c r="T194" s="11"/>
      <c r="U194" s="9" t="s">
        <v>517</v>
      </c>
      <c r="V194" s="10">
        <v>-38.723013999999999</v>
      </c>
      <c r="W194" s="10">
        <v>77.519947999999999</v>
      </c>
      <c r="X194" s="10">
        <v>1792</v>
      </c>
      <c r="Y194" s="9" t="s">
        <v>46</v>
      </c>
      <c r="Z194" s="10">
        <v>1874</v>
      </c>
      <c r="AA194" s="9" t="s">
        <v>46</v>
      </c>
      <c r="AB194" s="9" t="s">
        <v>516</v>
      </c>
      <c r="AC194" s="9" t="s">
        <v>520</v>
      </c>
      <c r="AD194" s="11"/>
      <c r="AE194" s="10">
        <v>-45</v>
      </c>
      <c r="AF194" s="10">
        <v>-49</v>
      </c>
      <c r="AG194" s="10">
        <v>158</v>
      </c>
      <c r="AH194" s="10">
        <v>76</v>
      </c>
      <c r="AI194" s="10">
        <v>121</v>
      </c>
      <c r="AJ194" s="10">
        <v>207</v>
      </c>
      <c r="AK194" s="10">
        <v>164</v>
      </c>
      <c r="AL194" s="10">
        <v>-86</v>
      </c>
      <c r="AM194" s="9" t="s">
        <v>103</v>
      </c>
    </row>
    <row r="195" spans="1:39" ht="20" customHeight="1" x14ac:dyDescent="0.15">
      <c r="A195" s="7">
        <v>214276713</v>
      </c>
      <c r="B195" s="8">
        <v>22704154</v>
      </c>
      <c r="C195" s="9" t="s">
        <v>521</v>
      </c>
      <c r="D195" s="9" t="s">
        <v>522</v>
      </c>
      <c r="E195" s="9" t="s">
        <v>40</v>
      </c>
      <c r="F195" s="9" t="s">
        <v>434</v>
      </c>
      <c r="G195" s="9" t="s">
        <v>54</v>
      </c>
      <c r="H195" s="9" t="s">
        <v>54</v>
      </c>
      <c r="I195" s="10">
        <v>1</v>
      </c>
      <c r="J195" s="9" t="s">
        <v>202</v>
      </c>
      <c r="K195" s="9" t="s">
        <v>275</v>
      </c>
      <c r="L195" s="10">
        <v>-38.003530400000002</v>
      </c>
      <c r="M195" s="10">
        <v>175.9578526</v>
      </c>
      <c r="N195" s="10">
        <v>1883</v>
      </c>
      <c r="O195" s="9" t="s">
        <v>46</v>
      </c>
      <c r="P195" s="10">
        <v>1883</v>
      </c>
      <c r="Q195" s="9" t="s">
        <v>46</v>
      </c>
      <c r="R195" s="9" t="s">
        <v>523</v>
      </c>
      <c r="S195" s="9" t="s">
        <v>524</v>
      </c>
      <c r="T195" s="11"/>
      <c r="U195" s="9" t="s">
        <v>45</v>
      </c>
      <c r="V195" s="10">
        <v>-41.286499999999997</v>
      </c>
      <c r="W195" s="10">
        <v>174.77619999999999</v>
      </c>
      <c r="X195" s="10">
        <v>1860</v>
      </c>
      <c r="Y195" s="9" t="s">
        <v>46</v>
      </c>
      <c r="Z195" s="10">
        <v>1860</v>
      </c>
      <c r="AA195" s="9" t="s">
        <v>46</v>
      </c>
      <c r="AB195" s="9" t="s">
        <v>55</v>
      </c>
      <c r="AC195" s="9" t="s">
        <v>56</v>
      </c>
      <c r="AD195" s="11"/>
      <c r="AE195" s="10">
        <v>67</v>
      </c>
      <c r="AF195" s="10">
        <v>67</v>
      </c>
      <c r="AG195" s="10">
        <v>90</v>
      </c>
      <c r="AH195" s="10">
        <v>90</v>
      </c>
      <c r="AI195" s="10">
        <v>23</v>
      </c>
      <c r="AJ195" s="10">
        <v>23</v>
      </c>
      <c r="AK195" s="10">
        <v>23</v>
      </c>
      <c r="AL195" s="10">
        <v>0</v>
      </c>
      <c r="AM195" s="9" t="s">
        <v>57</v>
      </c>
    </row>
    <row r="196" spans="1:39" ht="20" customHeight="1" x14ac:dyDescent="0.15">
      <c r="A196" s="7">
        <v>214276713</v>
      </c>
      <c r="B196" s="8">
        <v>22704154</v>
      </c>
      <c r="C196" s="9" t="s">
        <v>521</v>
      </c>
      <c r="D196" s="9" t="s">
        <v>522</v>
      </c>
      <c r="E196" s="9" t="s">
        <v>40</v>
      </c>
      <c r="F196" s="9" t="s">
        <v>434</v>
      </c>
      <c r="G196" s="9" t="s">
        <v>54</v>
      </c>
      <c r="H196" s="9" t="s">
        <v>54</v>
      </c>
      <c r="I196" s="10">
        <v>1</v>
      </c>
      <c r="J196" s="9" t="s">
        <v>202</v>
      </c>
      <c r="K196" s="9" t="s">
        <v>448</v>
      </c>
      <c r="L196" s="10">
        <v>-36.199421399999999</v>
      </c>
      <c r="M196" s="10">
        <v>175.41728660000001</v>
      </c>
      <c r="N196" s="10">
        <v>1883</v>
      </c>
      <c r="O196" s="9" t="s">
        <v>46</v>
      </c>
      <c r="P196" s="10">
        <v>1883</v>
      </c>
      <c r="Q196" s="9" t="s">
        <v>46</v>
      </c>
      <c r="R196" s="9" t="s">
        <v>523</v>
      </c>
      <c r="S196" s="9" t="s">
        <v>524</v>
      </c>
      <c r="T196" s="11"/>
      <c r="U196" s="9" t="s">
        <v>448</v>
      </c>
      <c r="V196" s="10">
        <v>-36.199421399999999</v>
      </c>
      <c r="W196" s="10">
        <v>175.41728660000001</v>
      </c>
      <c r="X196" s="10">
        <v>1860</v>
      </c>
      <c r="Y196" s="9" t="s">
        <v>46</v>
      </c>
      <c r="Z196" s="10">
        <v>1860</v>
      </c>
      <c r="AA196" s="9" t="s">
        <v>46</v>
      </c>
      <c r="AB196" s="9" t="s">
        <v>451</v>
      </c>
      <c r="AC196" s="9" t="s">
        <v>452</v>
      </c>
      <c r="AD196" s="11"/>
      <c r="AE196" s="10">
        <v>67</v>
      </c>
      <c r="AF196" s="10">
        <v>67</v>
      </c>
      <c r="AG196" s="10">
        <v>90</v>
      </c>
      <c r="AH196" s="10">
        <v>90</v>
      </c>
      <c r="AI196" s="10">
        <v>23</v>
      </c>
      <c r="AJ196" s="10">
        <v>23</v>
      </c>
      <c r="AK196" s="10">
        <v>23</v>
      </c>
      <c r="AL196" s="10">
        <v>0</v>
      </c>
      <c r="AM196" s="9" t="s">
        <v>57</v>
      </c>
    </row>
    <row r="197" spans="1:39" ht="20" customHeight="1" x14ac:dyDescent="0.15">
      <c r="A197" s="7">
        <v>95121524</v>
      </c>
      <c r="B197" s="8">
        <v>22735943</v>
      </c>
      <c r="C197" s="9" t="s">
        <v>525</v>
      </c>
      <c r="D197" s="9" t="s">
        <v>526</v>
      </c>
      <c r="E197" s="9" t="s">
        <v>40</v>
      </c>
      <c r="F197" s="9" t="s">
        <v>434</v>
      </c>
      <c r="G197" s="9" t="s">
        <v>468</v>
      </c>
      <c r="H197" s="9" t="s">
        <v>54</v>
      </c>
      <c r="I197" s="10">
        <v>1</v>
      </c>
      <c r="J197" s="9" t="s">
        <v>202</v>
      </c>
      <c r="K197" s="9" t="s">
        <v>263</v>
      </c>
      <c r="L197" s="10">
        <v>-37.1162068</v>
      </c>
      <c r="M197" s="10">
        <v>-12.282648399999999</v>
      </c>
      <c r="N197" s="10">
        <v>1872</v>
      </c>
      <c r="O197" s="9" t="s">
        <v>46</v>
      </c>
      <c r="P197" s="10">
        <v>1900</v>
      </c>
      <c r="Q197" s="9" t="s">
        <v>46</v>
      </c>
      <c r="R197" s="22" t="s">
        <v>545</v>
      </c>
      <c r="S197" s="22" t="s">
        <v>546</v>
      </c>
      <c r="T197" s="11"/>
      <c r="U197" s="9" t="s">
        <v>263</v>
      </c>
      <c r="V197" s="10">
        <v>-37.1162068</v>
      </c>
      <c r="W197" s="10">
        <v>-12.282648399999999</v>
      </c>
      <c r="X197" s="10">
        <v>1882</v>
      </c>
      <c r="Y197" s="9" t="s">
        <v>46</v>
      </c>
      <c r="Z197" s="10">
        <v>1882</v>
      </c>
      <c r="AA197" s="9" t="s">
        <v>46</v>
      </c>
      <c r="AB197" s="22" t="s">
        <v>543</v>
      </c>
      <c r="AC197" s="22" t="s">
        <v>541</v>
      </c>
      <c r="AD197" s="11"/>
      <c r="AE197" s="10">
        <v>78</v>
      </c>
      <c r="AF197" s="10">
        <v>50</v>
      </c>
      <c r="AG197" s="10">
        <v>68</v>
      </c>
      <c r="AH197" s="10">
        <v>68</v>
      </c>
      <c r="AI197" s="10">
        <v>-10</v>
      </c>
      <c r="AJ197" s="10">
        <v>18</v>
      </c>
      <c r="AK197" s="10">
        <v>4</v>
      </c>
      <c r="AL197" s="10">
        <v>-28</v>
      </c>
      <c r="AM197" s="9" t="s">
        <v>128</v>
      </c>
    </row>
    <row r="198" spans="1:39" ht="20" customHeight="1" x14ac:dyDescent="0.15">
      <c r="A198" s="7">
        <v>95121524</v>
      </c>
      <c r="B198" s="8">
        <v>22735943</v>
      </c>
      <c r="C198" s="9" t="s">
        <v>525</v>
      </c>
      <c r="D198" s="9" t="s">
        <v>526</v>
      </c>
      <c r="E198" s="9" t="s">
        <v>40</v>
      </c>
      <c r="F198" s="9" t="s">
        <v>434</v>
      </c>
      <c r="G198" s="9" t="s">
        <v>468</v>
      </c>
      <c r="H198" s="9" t="s">
        <v>59</v>
      </c>
      <c r="I198" s="10">
        <v>1</v>
      </c>
      <c r="J198" s="9" t="s">
        <v>202</v>
      </c>
      <c r="K198" s="9" t="s">
        <v>263</v>
      </c>
      <c r="L198" s="10">
        <v>-37.1162068</v>
      </c>
      <c r="M198" s="10">
        <v>-12.282648399999999</v>
      </c>
      <c r="N198" s="10">
        <v>1872</v>
      </c>
      <c r="O198" s="9" t="s">
        <v>46</v>
      </c>
      <c r="P198" s="21">
        <v>1900</v>
      </c>
      <c r="Q198" s="9" t="s">
        <v>46</v>
      </c>
      <c r="R198" s="22" t="s">
        <v>545</v>
      </c>
      <c r="S198" s="22" t="s">
        <v>546</v>
      </c>
      <c r="T198" s="11"/>
      <c r="U198" s="9" t="s">
        <v>263</v>
      </c>
      <c r="V198" s="10">
        <v>-37.1162068</v>
      </c>
      <c r="W198" s="10">
        <v>-12.282648399999999</v>
      </c>
      <c r="X198" s="10">
        <v>1701</v>
      </c>
      <c r="Y198" s="9" t="s">
        <v>46</v>
      </c>
      <c r="Z198" s="10">
        <v>1800</v>
      </c>
      <c r="AA198" s="9" t="s">
        <v>46</v>
      </c>
      <c r="AB198" s="9" t="s">
        <v>264</v>
      </c>
      <c r="AC198" s="9" t="s">
        <v>265</v>
      </c>
      <c r="AD198" s="11"/>
      <c r="AE198" s="10">
        <v>78</v>
      </c>
      <c r="AF198" s="21">
        <v>50</v>
      </c>
      <c r="AG198" s="10">
        <v>249</v>
      </c>
      <c r="AH198" s="10">
        <v>150</v>
      </c>
      <c r="AI198" s="10">
        <v>72</v>
      </c>
      <c r="AJ198" s="10">
        <v>199</v>
      </c>
      <c r="AK198" s="21">
        <v>135.5</v>
      </c>
      <c r="AL198" s="21">
        <v>-127</v>
      </c>
      <c r="AM198" s="9" t="s">
        <v>57</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2024-12-05T03:46:14Z</dcterms:created>
  <dcterms:modified xsi:type="dcterms:W3CDTF">2024-12-06T08:20:57Z</dcterms:modified>
</cp:coreProperties>
</file>