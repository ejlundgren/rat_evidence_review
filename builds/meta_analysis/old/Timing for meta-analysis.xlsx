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arian/Documents/ARIAN/Dingo/Manuscripts/Death Star/Rodents vs seabirds/Databases/Timing files/"/>
    </mc:Choice>
  </mc:AlternateContent>
  <xr:revisionPtr revIDLastSave="0" documentId="13_ncr:1_{B36ADD1F-BC0D-5F4C-A453-1E3694683261}" xr6:coauthVersionLast="47" xr6:coauthVersionMax="47" xr10:uidLastSave="{00000000-0000-0000-0000-000000000000}"/>
  <bookViews>
    <workbookView xWindow="1060" yWindow="500" windowWidth="28800" windowHeight="15860" xr2:uid="{97B1A17E-C9AF-6244-A41F-EF4EA3B7A8A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W42" i="1" l="1"/>
  <c r="X42" i="1"/>
  <c r="X44" i="1"/>
  <c r="W44" i="1"/>
  <c r="X43" i="1"/>
  <c r="W43" i="1"/>
  <c r="X47" i="1"/>
  <c r="W47" i="1"/>
  <c r="X46" i="1"/>
  <c r="W46" i="1"/>
  <c r="X45" i="1"/>
  <c r="W45" i="1"/>
  <c r="X52" i="1"/>
  <c r="W52" i="1"/>
  <c r="X53" i="1"/>
  <c r="W53" i="1"/>
  <c r="X51" i="1"/>
  <c r="W51" i="1"/>
  <c r="X50" i="1"/>
  <c r="W50" i="1"/>
  <c r="X49" i="1"/>
  <c r="W49" i="1"/>
  <c r="X41" i="1"/>
  <c r="W41" i="1"/>
  <c r="X39" i="1"/>
  <c r="W39" i="1"/>
  <c r="X40" i="1"/>
  <c r="W40" i="1"/>
  <c r="W38" i="1"/>
  <c r="X38" i="1"/>
  <c r="X37" i="1"/>
  <c r="W37" i="1"/>
  <c r="X36" i="1"/>
  <c r="W36" i="1"/>
  <c r="X35" i="1"/>
  <c r="W35" i="1"/>
  <c r="X34" i="1"/>
  <c r="W34" i="1"/>
  <c r="X29" i="1"/>
  <c r="W29" i="1"/>
  <c r="X28" i="1"/>
  <c r="W28" i="1"/>
  <c r="X27" i="1"/>
  <c r="W27" i="1"/>
  <c r="X26" i="1"/>
  <c r="W26" i="1"/>
  <c r="X25" i="1"/>
  <c r="W25" i="1"/>
  <c r="X24" i="1"/>
  <c r="W24" i="1"/>
  <c r="X23" i="1"/>
  <c r="W23" i="1"/>
  <c r="X22" i="1"/>
  <c r="W22" i="1"/>
  <c r="X21" i="1"/>
  <c r="W21" i="1"/>
  <c r="X20" i="1"/>
  <c r="W20" i="1"/>
  <c r="X19" i="1"/>
  <c r="W19" i="1"/>
  <c r="X18" i="1"/>
  <c r="W18" i="1"/>
  <c r="W17" i="1"/>
  <c r="X17" i="1"/>
  <c r="W16" i="1"/>
  <c r="X16" i="1"/>
  <c r="X15" i="1"/>
  <c r="W15" i="1"/>
  <c r="X12" i="1"/>
  <c r="W12" i="1"/>
  <c r="X14" i="1"/>
  <c r="W14" i="1"/>
  <c r="X13" i="1"/>
  <c r="W13" i="1"/>
  <c r="X11" i="1"/>
  <c r="W11" i="1"/>
  <c r="X10" i="1"/>
  <c r="W10" i="1"/>
  <c r="W9" i="1"/>
  <c r="X9" i="1"/>
  <c r="X8" i="1"/>
  <c r="W8" i="1"/>
  <c r="X6" i="1"/>
  <c r="W6" i="1"/>
  <c r="X7" i="1"/>
  <c r="W7" i="1"/>
  <c r="X5" i="1"/>
  <c r="W5" i="1"/>
  <c r="X4" i="1"/>
  <c r="W4" i="1"/>
  <c r="X3" i="1"/>
  <c r="W3" i="1"/>
  <c r="X2" i="1"/>
  <c r="W2" i="1"/>
</calcChain>
</file>

<file path=xl/sharedStrings.xml><?xml version="1.0" encoding="utf-8"?>
<sst xmlns="http://schemas.openxmlformats.org/spreadsheetml/2006/main" count="868" uniqueCount="230">
  <si>
    <t>assessmentId</t>
  </si>
  <si>
    <t>internalTaxonId</t>
  </si>
  <si>
    <t>scientificName</t>
  </si>
  <si>
    <t>Common_name</t>
  </si>
  <si>
    <t>Synonyms_or_previous_lump</t>
  </si>
  <si>
    <t>Rodent_attributed_IUCN</t>
  </si>
  <si>
    <t>Article</t>
  </si>
  <si>
    <t>Article_secondary_same_data</t>
  </si>
  <si>
    <t>Study_type</t>
  </si>
  <si>
    <t>Study_rodent</t>
  </si>
  <si>
    <t>Study_location</t>
  </si>
  <si>
    <t>Latitude</t>
  </si>
  <si>
    <t>Longitude</t>
  </si>
  <si>
    <t>redlistCategory</t>
  </si>
  <si>
    <t>N/A</t>
  </si>
  <si>
    <t>Rattus</t>
  </si>
  <si>
    <t>Rattus exulans</t>
  </si>
  <si>
    <t>Rattus norvegicus</t>
  </si>
  <si>
    <t>Vulnerable</t>
  </si>
  <si>
    <t>Rattus rattus</t>
  </si>
  <si>
    <t>Endangered</t>
  </si>
  <si>
    <t>Near Threatened</t>
  </si>
  <si>
    <t>Spatial</t>
  </si>
  <si>
    <t>Critically Endangered</t>
  </si>
  <si>
    <t>Cinclodes antarcticus</t>
  </si>
  <si>
    <t>Blackish Cinclodes</t>
  </si>
  <si>
    <t>Falkland Islands</t>
  </si>
  <si>
    <t>Tabak, M.A., Poncet, S., Passfield, K., Goheen, J.R. and Martinez del Rio, C., 2016. The ghost of invasives past: rat eradication and the community composition and energy flow of island bird communities. Ecosphere, 7(8), p.e01442.</t>
  </si>
  <si>
    <t>Spatiotemporal</t>
  </si>
  <si>
    <t>Tabak, M.A., Poncet, S., Passfield, K., Goheen, J.R. and Martinez del Rio, C., 2015. Rat eradication and the resistance and resilience of passerine bird assemblages in the Falkland Islands. Journal of Animal Ecology, 84(3), pp.755-764.</t>
  </si>
  <si>
    <t>Rattus rattus, Rattus norvegicus</t>
  </si>
  <si>
    <t>Temporal</t>
  </si>
  <si>
    <t>Rattus exulans, Rattus rattus</t>
  </si>
  <si>
    <t>O’ahu</t>
  </si>
  <si>
    <t>Chasiempis ibidis</t>
  </si>
  <si>
    <t>Oahu Elepaio</t>
  </si>
  <si>
    <t>Chasiempis sandwichensis</t>
  </si>
  <si>
    <t>VanderWerf, E.A., Mosher, S.M., Burt, M.D., Taylor, P.E. and Sailer, D., 2011. Variable efficacy of rat control in conserving O ‘ahu ‘Elepaio populations. In Proceedings of the Island Invasives: Eradication and Management Conference.</t>
  </si>
  <si>
    <t>Prosobonia parvirostris</t>
  </si>
  <si>
    <t>Tuamotu Sandpiper</t>
  </si>
  <si>
    <t>Prosobonia cancellata</t>
  </si>
  <si>
    <t>Seitre, J., 1992. Causes of land-bird extinctions in French Polynesia. Oryx, 26(4), pp.215-222.</t>
  </si>
  <si>
    <t>Apteryx mantelli</t>
  </si>
  <si>
    <t>North Island Brown Kiwi</t>
  </si>
  <si>
    <t>Apteryx australis</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</si>
  <si>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</si>
  <si>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Table 1</t>
  </si>
  <si>
    <t>Vini ultramarina</t>
  </si>
  <si>
    <t>Ultramarine Lorikeet</t>
  </si>
  <si>
    <t>Puffinus myrtae</t>
  </si>
  <si>
    <t>Rapa Shearwater</t>
  </si>
  <si>
    <t>Puffinus assimilis, Puffinus newelli</t>
  </si>
  <si>
    <t>Pierce, R.J., 2002. Kiore (Rattus exulans) impact on breeding success of Pycroft's petrels and little shearwaters (p. 24). Wellington: Department of Conservation.</t>
  </si>
  <si>
    <t>Rattus norvegicus, Rattus</t>
  </si>
  <si>
    <t>Pterodroma cookii</t>
  </si>
  <si>
    <t>Cook's Petrel</t>
  </si>
  <si>
    <t>Pterodroma cooki</t>
  </si>
  <si>
    <t>Imber, M.J., West, J.A. and Cooper, W.J., 2003. Cook's petrel (Pterodroma cookii): historic distribution, breeding biology and effects of predators. Notornis, 50(4), pp.221-230.</t>
  </si>
  <si>
    <t>Little Barrier Island</t>
  </si>
  <si>
    <t>Pterodroma pycrofti</t>
  </si>
  <si>
    <t>Pycroft's Petrel</t>
  </si>
  <si>
    <t>Puffinus yelkouan</t>
  </si>
  <si>
    <t>Yelkouan Shearwater</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</si>
  <si>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</si>
  <si>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</si>
  <si>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Martin, J.L., Thibault, J.C. and Bretagnolle, V., 2000. Black rats, island characteristics, and colonial nesting birds in the Mediterranean: consequences of an ancient introduction. Conservation Biology, 14(5), pp.1452-1466.</t>
  </si>
  <si>
    <t>Cabrera Islands</t>
  </si>
  <si>
    <t>Newton, K.M., McKown, M., Wolf, C., Gellerman, H., Coonan, T., Richards, D., Harvey, A.L., Holmes, N., Howald, G., Faulkner, K. and Tershy, B.R., 2016. Response of native species 10 years after rat eradication on Anacapa Island, California. Journal of Fish and Wildlife Management, 7(1), pp.72-85.</t>
  </si>
  <si>
    <t>Anacapa Island</t>
  </si>
  <si>
    <t>Rattus, Rattus rattus</t>
  </si>
  <si>
    <t>Synthliboramphus scrippsi</t>
  </si>
  <si>
    <t>Scripps’s murrelet</t>
  </si>
  <si>
    <t>Synthliboramphus hypoleucus scrippsi</t>
  </si>
  <si>
    <t>Rattus rattus, Mus musculus, Peromyscus maniculatus</t>
  </si>
  <si>
    <t>Whitworth, D.L., Carter, H.R. and Gress, F., 2013. Recovery of a threatened seabird after eradication of an introduced predator: Eight years of progress for Scripps’s murrelet at Anacapa Island, California. Biological Conservation, 162, pp.52-59.</t>
  </si>
  <si>
    <t>Charadrius sanctaehelenae</t>
  </si>
  <si>
    <t>Saint Helena Plover</t>
  </si>
  <si>
    <t>Saint Helena Island</t>
  </si>
  <si>
    <t>Oppel, S., Burns, F., Vickery, J., George, K., Ellick, G., Leo, D. and Hillman, J.C., 2014. Habitat‐specific effectiveness of feral cat control for the conservation of an endemic ground‐nesting bird species. Journal of Applied Ecology, 51(5), pp.1246-1254.</t>
  </si>
  <si>
    <t>Vini peruviana</t>
  </si>
  <si>
    <t>Blue Lorikeet</t>
  </si>
  <si>
    <t>Mohoua ochrocephala</t>
  </si>
  <si>
    <t>Yellowhead</t>
  </si>
  <si>
    <t>O'Donnell, C.F. and Phillipson, S.M., 1996. Predicting the incidence of mohua predation from the seedfall, mouse, and predator fluctuations in beech forests. New Zealand Journal of Zoology, 23(3), pp.287-293.</t>
  </si>
  <si>
    <t>Arthur's Pass National Park</t>
  </si>
  <si>
    <t>O'Donnell, C.F. and Hoare, J.M., 2012. Quantifying the benefits of long-term integrated pest control for forest bird populations in a New Zealand temperate rainforest. New Zealand Journal of Ecology, pp.131-140.</t>
  </si>
  <si>
    <t>Landsborough Valley</t>
  </si>
  <si>
    <t>Dilks, P., Willans, M., Pryde, M. and Fraser, I., 2003. Large scale stoat control to protect mohua (Mohoua ochrocephala) and kaka (Nestor meridionalis) in the Eglinton Valley, Fiordland, New Zealand. New Zealand Journal of Ecology, pp.1-9.</t>
  </si>
  <si>
    <t>Fiordland</t>
  </si>
  <si>
    <t>Cyanoramphus auriceps</t>
  </si>
  <si>
    <t>Yellow-fronted Parakeet</t>
  </si>
  <si>
    <t>Palau</t>
  </si>
  <si>
    <t>Megapodius laperouse</t>
  </si>
  <si>
    <t>Micronesian Scrubfowl</t>
  </si>
  <si>
    <t>Radley, P.M., Davis, R.A. and Doherty, T.S., 2021. Impacts of invasive rats and tourism on a threatened island bird: the Palau Micronesian Scrubfowl. Bird Conservation International, 31(2), pp.206-218.</t>
  </si>
  <si>
    <t>Study_ID</t>
  </si>
  <si>
    <t>study_1</t>
  </si>
  <si>
    <t>study_7</t>
  </si>
  <si>
    <t>study_8</t>
  </si>
  <si>
    <t>study_9</t>
  </si>
  <si>
    <t>study_10</t>
  </si>
  <si>
    <t>study_11</t>
  </si>
  <si>
    <t>study_12</t>
  </si>
  <si>
    <t>study_13</t>
  </si>
  <si>
    <t>study_14</t>
  </si>
  <si>
    <t>study_15</t>
  </si>
  <si>
    <t>study_16</t>
  </si>
  <si>
    <t>study_17</t>
  </si>
  <si>
    <t>study_18</t>
  </si>
  <si>
    <t>study_19</t>
  </si>
  <si>
    <t>study_20</t>
  </si>
  <si>
    <t>study_22</t>
  </si>
  <si>
    <t>study_26</t>
  </si>
  <si>
    <t>study_27</t>
  </si>
  <si>
    <t>study_28</t>
  </si>
  <si>
    <t>study_29</t>
  </si>
  <si>
    <t>Zembra Island</t>
  </si>
  <si>
    <t>Table 3</t>
  </si>
  <si>
    <t>?</t>
  </si>
  <si>
    <t>Pterodroma phaeopygia</t>
  </si>
  <si>
    <t>Galapagos Petrel</t>
  </si>
  <si>
    <t>Cruz, J.B. and Cruz, F., 1987. Conservation of the dark-rumped petrel Pterodroma phaeopygia in the Galapagos Islands, Ecuador. Biological Conservation, 42(4), pp.303-311.</t>
  </si>
  <si>
    <t>Floreana Island</t>
  </si>
  <si>
    <t>Cruz, J.B. and Cruz, F., 1996. Conservation of the dark-rumped petrel Pterodroma phaeopygia of the Galápagos Islands, 1982–1991. Bird Conservation International, 6(1), pp.23-32.</t>
  </si>
  <si>
    <t>Rayner, M.J., Hauber, M.E., Imber, M.J., Stamp, R.K. and Clout, M.N., 2007. Spatial heterogeneity of mesopredator release within an oceanic island system. Proceedings of the National Academy of Sciences, 104(52), pp.20862-20865.</t>
  </si>
  <si>
    <t>Charadrius obscurus</t>
  </si>
  <si>
    <t>Southern Red-breasted Plover</t>
  </si>
  <si>
    <t>study_33</t>
  </si>
  <si>
    <t>Matakana Island</t>
  </si>
  <si>
    <t>Callaeas cinereus</t>
  </si>
  <si>
    <t>South Island Kokako</t>
  </si>
  <si>
    <t>Innes, J., Hay, R., Flux, I., Bradfield, P., Speed, H. and Jansen, P., 1999. Successful recovery of North Island kokako Callaeas cinerea wilsoni populations, by adaptive management. Biological conservation, 87(2), pp.201-214.</t>
  </si>
  <si>
    <t>study_34</t>
  </si>
  <si>
    <t>Mapara, Rotoehu and Kaharoa</t>
  </si>
  <si>
    <t>study_35</t>
  </si>
  <si>
    <t>study_36</t>
  </si>
  <si>
    <t>study_37</t>
  </si>
  <si>
    <t>study_38</t>
  </si>
  <si>
    <t>study_39</t>
  </si>
  <si>
    <t>study_40</t>
  </si>
  <si>
    <t>study_42</t>
  </si>
  <si>
    <t>study_44</t>
  </si>
  <si>
    <t>study_45</t>
  </si>
  <si>
    <t>study_46</t>
  </si>
  <si>
    <t>study_47</t>
  </si>
  <si>
    <t>study_48</t>
  </si>
  <si>
    <t>study_49</t>
  </si>
  <si>
    <t>Pterodroma madeira</t>
  </si>
  <si>
    <t>Zino's Petrel</t>
  </si>
  <si>
    <t>Zino, F., Oliveira, P., King, S., Buckle, A., Biscoito, M., Neves, H.C. and Vasconcelos, A., 2001. Conservation of Zino's petrel Pterodroma madeira in the archipelago of Madeira. Oryx, 35(2), pp.128-136.</t>
  </si>
  <si>
    <t>Madeira</t>
  </si>
  <si>
    <t>study_50</t>
  </si>
  <si>
    <t>Ruffino, L., Bourgeois, K., Vidal, E., Duhem, C., Paracuellos, M., Escribano, F., Sposimo, P., Baccetti, N., Pascal, M. and Oro, D., 2009. Invasive rats and seabirds after 2,000 years of an unwanted coexistence on Mediterranean islands. Biological invasions, 11, pp.1631-1651.</t>
  </si>
  <si>
    <t>study_51</t>
  </si>
  <si>
    <t>Puffinus mauretanicus</t>
  </si>
  <si>
    <t>Balearic Shearwater</t>
  </si>
  <si>
    <t>study_52</t>
  </si>
  <si>
    <t>WHITWORTH, D.L., HARVEY, A.L., CARTER, H.R., YOUNG, R.J., KOEPKE, J.S. and MAZURKIEWICZ, D.M., 2015. Breeding of Cassin's auklets Ptychoramphus aleuticus at Anacapa Island, California, after eradication of black rats Rattus rattus. Marine Ornithology, 43, pp.19-24.</t>
  </si>
  <si>
    <t>Ptychoramphus aleuticus</t>
  </si>
  <si>
    <t>Cassin's Auklet</t>
  </si>
  <si>
    <t>study_53</t>
  </si>
  <si>
    <t>Rattus rattus, Rattus norvegicus, Rattus exulans</t>
  </si>
  <si>
    <t>Study_rodent_species_Rattus-genus</t>
  </si>
  <si>
    <t>Wills, D.E., 2003. Impact of management on the breeding success of the northern New Zealand Dotterel (Charadrius obscurus aquilonius) on Matakana Island, Bay of Plenty. Notornis, 50, pp.1-10.</t>
  </si>
  <si>
    <t>Tilson, J. (2024) Breeding success and survival of mohua at Makarora during the 2023 rat plague, and implications for future management. Southern Lakes Sanctuary</t>
  </si>
  <si>
    <t>study_54</t>
  </si>
  <si>
    <t>Makarora</t>
  </si>
  <si>
    <t>Whitmore, N. (2021) An analysis of Makarora Mohua encounter rate 2011 -2020. Unpublished report for Central Otago Lakes Branch of Forest &amp; Bird.; Whitmore, N. (2023a) An analysis of Mohua encounter rates at five South Island sites. Report for Department of Conservation.; Whitmore, N. (2023b) An analysis of Mohua encounter rates at Makarora 2011 – 2022. Southern Lakes Sanctuary unpublished report.</t>
  </si>
  <si>
    <t>Effect_type</t>
  </si>
  <si>
    <t>SMD</t>
  </si>
  <si>
    <t>Correlation</t>
  </si>
  <si>
    <t>Binary Odds Ratio</t>
  </si>
  <si>
    <t>Continuous Odds Ratio</t>
  </si>
  <si>
    <t>Correlation or Odds Ratio, if we known number of fledglings monitored</t>
  </si>
  <si>
    <t>Correlation or Odds Ratio, if we known number of pairs monitored</t>
  </si>
  <si>
    <t>Odds ratio if we know number of stations</t>
  </si>
  <si>
    <t>Callaeas wilsoni</t>
  </si>
  <si>
    <t>Charadrius aquilonius</t>
  </si>
  <si>
    <t>Study_rodent_arrival_earliest</t>
  </si>
  <si>
    <t>Study_rodent_arrival_latest</t>
  </si>
  <si>
    <t>Quote</t>
  </si>
  <si>
    <t>Reference_rodent_arrival</t>
  </si>
  <si>
    <t>Tabak, M.A., Poncet, S., Passfield, K. and del Rio, C.M., 2015. Modeling the distribution of Norway rats (Rattus norvegicus) on offshore islands in the Falkland Islands. NeoBiota, 24, pp.33-48.</t>
  </si>
  <si>
    <t>"Norway rats (Rattus norvegicus) were introduced to the Falkland Islands (or “Falklands”) in the 18th century (Poncet et al. 2011)."</t>
  </si>
  <si>
    <t>Study_year</t>
  </si>
  <si>
    <t>Timeline_minimum</t>
  </si>
  <si>
    <t>Timeline_maximum</t>
  </si>
  <si>
    <t>Arrival_location</t>
  </si>
  <si>
    <t>"The hypothesis is advanced that after its establishment on Oahu in the 1870s, R. rattus spread to the remaining large islands in the group"</t>
  </si>
  <si>
    <t>Meyer, J.Y. and Butaud, J.F., 2009. The impacts of rats on the endangered native flora of French Polynesia (Pacific Islands): drivers of plant extinction or coup de grâce species?. Biological Invasions, 11, pp.1569-1585. Atkinson, 1985. The spread of commensal species of Rattus to the oceanic islands and their effects on the islands avifauna</t>
  </si>
  <si>
    <t xml:space="preserve">"Black rats Rattus rattus and Norway rats Rattus norvegicus arrived with Europeans, who first landed in Tahiti in 1768." "Table 1: Society Is, R.rattus, Time of introduction = pre-1920" </t>
  </si>
  <si>
    <t>French Polynesia, Tuamotus</t>
  </si>
  <si>
    <t>French Polynesia, Tahiti</t>
  </si>
  <si>
    <t>French Polynesia, Tuamotu</t>
  </si>
  <si>
    <t>Trounson Kauri Park, Northland, New Zealand</t>
  </si>
  <si>
    <t>Clout, M., 2005. Rodent incursions on New Zealand islands. In Proceedings of the 13th Australasian Vertebrate Pest Conference. Landcare Research (pp. 324-330).</t>
  </si>
  <si>
    <t>" In chronological order; the kiore (Rattus exulans, c1200AD), the Norway rat (R. norvegicus, c1790), the mouse (Mus musculus, 1824) and the ship rat (R. rattus, c1860) all arrived and rapidly spread across the country"</t>
  </si>
  <si>
    <t>New Zealand</t>
  </si>
  <si>
    <t>Arrival_rodent</t>
  </si>
  <si>
    <t>Holdaway, R.N., 1999. A spatio‐temporal model for the invasion of the New Zealand archipelago by the Pacific rat Rattus exulans. Journal of the Royal Society of New Zealand, 29(2), pp.91-105. , Clout, M., 2005. Rodent incursions on New Zealand islands. In Proceedings of the 13th Australasian Vertebrate Pest Conference. Landcare Research (pp. 324-330).</t>
  </si>
  <si>
    <t>"The various lines of evidence point to Pacific rats having established populations on theNorth and South Island sometime between AD 100 and 150", "In chronological order; the kiore (Rattus exulans, c1200AD)"</t>
  </si>
  <si>
    <t>North Island, New Zealand</t>
  </si>
  <si>
    <t>Table 1 "Pre-1920"</t>
  </si>
  <si>
    <t>French Polynesia, Society Islands, Bora Bora</t>
  </si>
  <si>
    <t>French Polynesia, Society Islands</t>
  </si>
  <si>
    <t>Lady Alice Island, Coppermine Island, New Zealand</t>
  </si>
  <si>
    <t>Figure 1 "Rat bone remains found in zooarcheological sites recorded in the Mediterranean basin before the High Middle Ages (1,100–1,300 AD)"</t>
  </si>
  <si>
    <t>Ruffino, L. and Vidal, E., 2010. Early colonization of Mediterranean islands by Rattus rattus: a review of zooarcheological data. Biological Invasions, 12, pp.2389-2394.</t>
  </si>
  <si>
    <t>Taula Torralba d’en Salort, Menorca, Spain</t>
  </si>
  <si>
    <t>Figure 1 "Rat bone remains found in zooarcheological sites recorded in the Mediterranean basin before the High Middle Ages (1,100–1,300 AD)"..."200-100 BC"</t>
  </si>
  <si>
    <t>"Black rats were first reported on Anacapa Island in the early 1900s (Banks 1966; Collins 1979)"</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</si>
  <si>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</si>
  <si>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"Pre-1931" Table 1</t>
  </si>
  <si>
    <t>"pre-1000bc" Table 1</t>
  </si>
  <si>
    <t xml:space="preserve">Atkinson IAE. 1985. The spread of commensal species of Rattus to oceanic islands and their effects on island avifaunas. Pages 35-81 in Moors PJ, editor. Conservation of Island Birds. Case Studies for the Management of Threatened Island Species. Symposium </t>
  </si>
  <si>
    <t>study_41</t>
  </si>
  <si>
    <t>study_43</t>
  </si>
  <si>
    <t>study_55</t>
  </si>
  <si>
    <t>study_56</t>
  </si>
  <si>
    <t>study_57</t>
  </si>
  <si>
    <t>study_58</t>
  </si>
  <si>
    <t>study_59</t>
  </si>
  <si>
    <t>study_60</t>
  </si>
  <si>
    <t xml:space="preserve">Atkinson IAE. 1985. The spread of commensal species of Rattus to oceanic islands and their effects on island avifaunas. Pages 35-81 in Moors PJ, editor. Conservation of Island Birds. Case Studies for the Management of Threatened Island Species. Symposium; Yosida, T.H., Udagawa, T., Ishibashi, M., Moriwaki, K., Yabe, T. and Hamada, T., 1985. Studies on the karyotypes of the black rats distributed in the Pacific and South Pacific islands, with special regard to the border line of the Asian and Oceanian type black rats on the Pacific Ocean. Proceedings of the Japan Academy, Series B, 61(2), pp.71-74. </t>
  </si>
  <si>
    <t>According to Atkinson "Not recorded" Table 1. But identified by Yosida "Specimens in Palau : Only two black rats were collected in the house of the Palau island. These two specimens had 42 chromosomes as described as the Asian type (Yosida 1980)."</t>
  </si>
  <si>
    <t>Mediterranean islands</t>
  </si>
  <si>
    <t>Figure 1 - range from islands</t>
  </si>
  <si>
    <t>"1684-c. 1710(Santiago) and subsequently to other islands" Table 1</t>
  </si>
  <si>
    <t>Galapagos</t>
  </si>
  <si>
    <t>"unknown" Table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</si>
</sst>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2"/>
      <color theme="1"/>
      <name val="Calibri"/>
      <family val="2"/>
      <scheme val="minor"/>
    </font>
    <font>
      <sz val="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7">
    <xf numFmtId="0" fontId="0" fillId="0" borderId="0" xfId="0"/>
    <xf numFmtId="49" fontId="0" fillId="0" borderId="0" xfId="0" applyNumberFormat="1"/>
    <xf numFmtId="49" fontId="0" fillId="2" borderId="0" xfId="0" applyNumberFormat="1" applyFill="1"/>
    <xf numFmtId="0" fontId="0" fillId="2" borderId="0" xfId="0" applyFill="1"/>
    <xf numFmtId="164" fontId="0" fillId="2" borderId="0" xfId="0" applyNumberFormat="1" applyFill="1"/>
    <xf numFmtId="0" fontId="0" fillId="2" borderId="0" xfId="0" applyFill="1" applyAlignment="1">
      <alignment horizontal="center"/>
    </xf>
    <xf numFmtId="49" fontId="0" fillId="0" borderId="0" xfId="0" applyNumberFormat="1" applyFill="1"/>
    <xf numFmtId="164" fontId="0" fillId="0" borderId="0" xfId="0" applyNumberFormat="1" applyFill="1"/>
    <xf numFmtId="0" fontId="0" fillId="0" borderId="0" xfId="0" applyFill="1"/>
    <xf numFmtId="0" fontId="0" fillId="0" borderId="0" xfId="0" applyFill="1" applyAlignment="1"/>
    <xf numFmtId="0" fontId="0" fillId="0" borderId="0" xfId="0" applyFont="1" applyFill="1" applyAlignment="1"/>
    <xf numFmtId="0" fontId="0" fillId="2" borderId="0" xfId="0" applyFont="1" applyFill="1" applyAlignment="1">
      <alignment horizontal="center"/>
    </xf>
    <xf numFmtId="0" fontId="0" fillId="0" borderId="0" xfId="0" applyFont="1" applyFill="1"/>
    <xf numFmtId="49" fontId="0" fillId="0" borderId="0" xfId="0" applyNumberFormat="1" applyFont="1" applyFill="1"/>
    <xf numFmtId="49" fontId="0" fillId="2" borderId="0" xfId="0" applyNumberFormat="1" applyFont="1" applyFill="1"/>
    <xf numFmtId="164" fontId="0" fillId="0" borderId="0" xfId="0" applyNumberFormat="1" applyFont="1" applyFill="1"/>
    <xf numFmtId="0" fontId="0" fillId="0"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42414-0AF7-E34A-A847-43BD5ADDB6F1}">
  <dimension ref="A1:AA53"/>
  <sheetViews>
    <sheetView tabSelected="1" topLeftCell="S1" workbookViewId="0">
      <pane ySplit="1" topLeftCell="A2" activePane="bottomLeft" state="frozen"/>
      <selection activeCell="AF1" sqref="AF1"/>
      <selection pane="bottomLeft" activeCell="U5" sqref="U5:AA7"/>
    </sheetView>
  </sheetViews>
  <sheetFormatPr baseColWidth="10" defaultRowHeight="16" x14ac:dyDescent="0.2"/>
  <cols>
    <col min="1" max="4" width="10.83203125" style="8"/>
    <col min="5" max="5" width="22" style="8" bestFit="1" customWidth="1"/>
    <col min="6" max="7" width="10.83203125" style="8"/>
    <col min="8" max="8" width="21.5" style="8" customWidth="1"/>
    <col min="9" max="9" width="32.5" style="8" customWidth="1"/>
    <col min="10" max="12" width="10.83203125" style="8"/>
    <col min="13" max="13" width="41.1640625" style="3" bestFit="1" customWidth="1"/>
    <col min="14" max="14" width="15.6640625" style="3" bestFit="1" customWidth="1"/>
    <col min="15" max="15" width="10.83203125" style="8"/>
    <col min="16" max="16" width="31.33203125" style="3" bestFit="1" customWidth="1"/>
    <col min="17" max="18" width="10.83203125" style="8"/>
    <col min="19" max="19" width="20.6640625" style="3" bestFit="1" customWidth="1"/>
    <col min="20" max="20" width="36.33203125" style="8" customWidth="1"/>
    <col min="21" max="21" width="25.6640625" style="5" bestFit="1" customWidth="1"/>
    <col min="22" max="22" width="24.1640625" style="5" bestFit="1" customWidth="1"/>
    <col min="23" max="24" width="24.1640625" style="5" customWidth="1"/>
    <col min="25" max="25" width="10.83203125" style="9"/>
    <col min="26" max="16384" width="10.83203125" style="8"/>
  </cols>
  <sheetData>
    <row r="1" spans="1:27" x14ac:dyDescent="0.2">
      <c r="A1" s="6" t="s">
        <v>0</v>
      </c>
      <c r="B1" s="6" t="s">
        <v>1</v>
      </c>
      <c r="C1" s="6" t="s">
        <v>95</v>
      </c>
      <c r="D1" s="6" t="s">
        <v>2</v>
      </c>
      <c r="E1" s="6" t="s">
        <v>3</v>
      </c>
      <c r="F1" s="6" t="s">
        <v>13</v>
      </c>
      <c r="G1" s="6" t="s">
        <v>4</v>
      </c>
      <c r="H1" s="6" t="s">
        <v>5</v>
      </c>
      <c r="I1" s="6" t="s">
        <v>6</v>
      </c>
      <c r="J1" s="6" t="s">
        <v>7</v>
      </c>
      <c r="K1" s="6" t="s">
        <v>184</v>
      </c>
      <c r="L1" s="6" t="s">
        <v>8</v>
      </c>
      <c r="M1" s="2" t="s">
        <v>9</v>
      </c>
      <c r="N1" s="2" t="s">
        <v>198</v>
      </c>
      <c r="O1" s="6" t="s">
        <v>162</v>
      </c>
      <c r="P1" s="2" t="s">
        <v>10</v>
      </c>
      <c r="Q1" s="7" t="s">
        <v>11</v>
      </c>
      <c r="R1" s="6" t="s">
        <v>12</v>
      </c>
      <c r="S1" s="2" t="s">
        <v>187</v>
      </c>
      <c r="T1" s="6" t="s">
        <v>168</v>
      </c>
      <c r="U1" s="5" t="s">
        <v>178</v>
      </c>
      <c r="V1" s="5" t="s">
        <v>179</v>
      </c>
      <c r="W1" s="5" t="s">
        <v>185</v>
      </c>
      <c r="X1" s="5" t="s">
        <v>186</v>
      </c>
      <c r="Y1" s="9" t="s">
        <v>180</v>
      </c>
      <c r="Z1" s="8" t="s">
        <v>181</v>
      </c>
    </row>
    <row r="2" spans="1:27" x14ac:dyDescent="0.2">
      <c r="A2" s="8">
        <v>93860479</v>
      </c>
      <c r="B2" s="8">
        <v>103670928</v>
      </c>
      <c r="C2" s="8" t="s">
        <v>96</v>
      </c>
      <c r="D2" s="6" t="s">
        <v>24</v>
      </c>
      <c r="E2" s="6" t="s">
        <v>25</v>
      </c>
      <c r="F2" s="6" t="s">
        <v>21</v>
      </c>
      <c r="G2" s="8" t="s">
        <v>14</v>
      </c>
      <c r="H2" s="6" t="s">
        <v>15</v>
      </c>
      <c r="I2" s="6" t="s">
        <v>27</v>
      </c>
      <c r="J2" s="6" t="s">
        <v>29</v>
      </c>
      <c r="K2" s="8">
        <v>2015</v>
      </c>
      <c r="L2" s="6" t="s">
        <v>28</v>
      </c>
      <c r="M2" s="2" t="s">
        <v>17</v>
      </c>
      <c r="N2" s="2" t="s">
        <v>17</v>
      </c>
      <c r="O2" s="6"/>
      <c r="P2" s="2" t="s">
        <v>26</v>
      </c>
      <c r="Q2" s="7">
        <v>-51.796300000000002</v>
      </c>
      <c r="R2" s="8">
        <v>-59.523600000000002</v>
      </c>
      <c r="S2" s="2" t="s">
        <v>26</v>
      </c>
      <c r="T2" s="8" t="s">
        <v>169</v>
      </c>
      <c r="U2" s="5">
        <v>1701</v>
      </c>
      <c r="V2" s="5">
        <v>1800</v>
      </c>
      <c r="W2" s="5">
        <f>K2-V2</f>
        <v>215</v>
      </c>
      <c r="X2" s="5">
        <f>K2-U2</f>
        <v>314</v>
      </c>
      <c r="Y2" s="9" t="s">
        <v>183</v>
      </c>
      <c r="Z2" s="8" t="s">
        <v>182</v>
      </c>
    </row>
    <row r="3" spans="1:27" x14ac:dyDescent="0.2">
      <c r="A3" s="8">
        <v>95133622</v>
      </c>
      <c r="B3" s="8">
        <v>22736423</v>
      </c>
      <c r="C3" s="8" t="s">
        <v>97</v>
      </c>
      <c r="D3" s="6" t="s">
        <v>34</v>
      </c>
      <c r="E3" s="6" t="s">
        <v>35</v>
      </c>
      <c r="F3" s="6" t="s">
        <v>20</v>
      </c>
      <c r="G3" s="6" t="s">
        <v>36</v>
      </c>
      <c r="H3" s="6" t="s">
        <v>19</v>
      </c>
      <c r="I3" s="6" t="s">
        <v>37</v>
      </c>
      <c r="J3" s="8" t="s">
        <v>14</v>
      </c>
      <c r="K3" s="8">
        <v>2011</v>
      </c>
      <c r="L3" s="6" t="s">
        <v>28</v>
      </c>
      <c r="M3" s="2" t="s">
        <v>19</v>
      </c>
      <c r="N3" s="2" t="s">
        <v>19</v>
      </c>
      <c r="O3" s="6"/>
      <c r="P3" s="2" t="s">
        <v>33</v>
      </c>
      <c r="Q3" s="7">
        <v>21.4389</v>
      </c>
      <c r="R3" s="8">
        <v>-158.0001</v>
      </c>
      <c r="S3" s="2" t="s">
        <v>33</v>
      </c>
      <c r="T3" s="8" t="s">
        <v>170</v>
      </c>
      <c r="U3" s="5">
        <v>1870</v>
      </c>
      <c r="V3" s="5">
        <v>1879</v>
      </c>
      <c r="W3" s="5">
        <f>K3-V3</f>
        <v>132</v>
      </c>
      <c r="X3" s="5">
        <f>K3-U3</f>
        <v>141</v>
      </c>
      <c r="Y3" s="8" t="s">
        <v>188</v>
      </c>
      <c r="Z3" s="9" t="s">
        <v>211</v>
      </c>
    </row>
    <row r="4" spans="1:27" x14ac:dyDescent="0.2">
      <c r="A4" s="8">
        <v>95194072</v>
      </c>
      <c r="B4" s="8">
        <v>62289271</v>
      </c>
      <c r="C4" s="8" t="s">
        <v>98</v>
      </c>
      <c r="D4" s="6" t="s">
        <v>38</v>
      </c>
      <c r="E4" s="6" t="s">
        <v>39</v>
      </c>
      <c r="F4" s="6" t="s">
        <v>20</v>
      </c>
      <c r="G4" s="6" t="s">
        <v>40</v>
      </c>
      <c r="H4" s="6" t="s">
        <v>19</v>
      </c>
      <c r="I4" s="8" t="s">
        <v>41</v>
      </c>
      <c r="J4" s="8" t="s">
        <v>14</v>
      </c>
      <c r="K4" s="8">
        <v>1992</v>
      </c>
      <c r="L4" s="8" t="s">
        <v>22</v>
      </c>
      <c r="M4" s="3" t="s">
        <v>16</v>
      </c>
      <c r="N4" s="3" t="s">
        <v>16</v>
      </c>
      <c r="P4" s="3" t="s">
        <v>193</v>
      </c>
      <c r="Q4" s="7">
        <v>-17.6797</v>
      </c>
      <c r="R4" s="7">
        <v>-149.4068</v>
      </c>
      <c r="S4" s="3" t="s">
        <v>191</v>
      </c>
      <c r="T4" s="8" t="s">
        <v>171</v>
      </c>
      <c r="U4" s="5">
        <v>1855</v>
      </c>
      <c r="V4" s="5">
        <v>1975</v>
      </c>
      <c r="W4" s="5">
        <f>K4-V4</f>
        <v>17</v>
      </c>
      <c r="X4" s="5">
        <f>K4-U4</f>
        <v>137</v>
      </c>
      <c r="Y4" s="8" t="s">
        <v>46</v>
      </c>
      <c r="Z4" s="9" t="s">
        <v>211</v>
      </c>
    </row>
    <row r="5" spans="1:27" x14ac:dyDescent="0.2">
      <c r="A5" s="8">
        <v>119177586</v>
      </c>
      <c r="B5" s="8">
        <v>45353580</v>
      </c>
      <c r="C5" s="8" t="s">
        <v>99</v>
      </c>
      <c r="D5" s="6" t="s">
        <v>42</v>
      </c>
      <c r="E5" s="6" t="s">
        <v>43</v>
      </c>
      <c r="F5" s="6" t="s">
        <v>18</v>
      </c>
      <c r="G5" s="6" t="s">
        <v>44</v>
      </c>
      <c r="H5" s="6" t="s">
        <v>15</v>
      </c>
      <c r="I5" s="8" t="s">
        <v>45</v>
      </c>
      <c r="J5" s="8" t="s">
        <v>14</v>
      </c>
      <c r="K5" s="8">
        <v>2003</v>
      </c>
      <c r="L5" s="8" t="s">
        <v>31</v>
      </c>
      <c r="M5" s="3" t="s">
        <v>161</v>
      </c>
      <c r="N5" s="3" t="s">
        <v>19</v>
      </c>
      <c r="O5" s="8">
        <v>1</v>
      </c>
      <c r="P5" s="3" t="s">
        <v>194</v>
      </c>
      <c r="Q5" s="7">
        <v>-35.7199752</v>
      </c>
      <c r="R5" s="7">
        <v>173.64937610000001</v>
      </c>
      <c r="S5" s="4" t="s">
        <v>197</v>
      </c>
      <c r="T5" s="8" t="s">
        <v>170</v>
      </c>
      <c r="U5" s="11">
        <v>1860</v>
      </c>
      <c r="V5" s="11">
        <v>1860</v>
      </c>
      <c r="W5" s="11">
        <f>K5-V5</f>
        <v>143</v>
      </c>
      <c r="X5" s="11">
        <f>K5-U5</f>
        <v>143</v>
      </c>
      <c r="Y5" s="12" t="s">
        <v>196</v>
      </c>
      <c r="Z5" s="10" t="s">
        <v>195</v>
      </c>
      <c r="AA5" s="12"/>
    </row>
    <row r="6" spans="1:27" x14ac:dyDescent="0.2">
      <c r="A6" s="8">
        <v>119177586</v>
      </c>
      <c r="B6" s="8">
        <v>45353580</v>
      </c>
      <c r="C6" s="8" t="s">
        <v>99</v>
      </c>
      <c r="D6" s="6" t="s">
        <v>42</v>
      </c>
      <c r="E6" s="6" t="s">
        <v>43</v>
      </c>
      <c r="F6" s="6" t="s">
        <v>18</v>
      </c>
      <c r="G6" s="6" t="s">
        <v>44</v>
      </c>
      <c r="H6" s="6" t="s">
        <v>15</v>
      </c>
      <c r="I6" s="8" t="s">
        <v>45</v>
      </c>
      <c r="J6" s="8" t="s">
        <v>14</v>
      </c>
      <c r="K6" s="8">
        <v>2003</v>
      </c>
      <c r="L6" s="8" t="s">
        <v>31</v>
      </c>
      <c r="M6" s="3" t="s">
        <v>161</v>
      </c>
      <c r="N6" s="3" t="s">
        <v>17</v>
      </c>
      <c r="O6" s="8">
        <v>1</v>
      </c>
      <c r="P6" s="3" t="s">
        <v>194</v>
      </c>
      <c r="Q6" s="7">
        <v>-35.7199752</v>
      </c>
      <c r="R6" s="7">
        <v>173.64937610000001</v>
      </c>
      <c r="S6" s="4" t="s">
        <v>197</v>
      </c>
      <c r="T6" s="8" t="s">
        <v>170</v>
      </c>
      <c r="U6" s="11">
        <v>1790</v>
      </c>
      <c r="V6" s="11">
        <v>1790</v>
      </c>
      <c r="W6" s="11">
        <f>K6-V6</f>
        <v>213</v>
      </c>
      <c r="X6" s="11">
        <f>K6-U6</f>
        <v>213</v>
      </c>
      <c r="Y6" s="12" t="s">
        <v>196</v>
      </c>
      <c r="Z6" s="10" t="s">
        <v>195</v>
      </c>
      <c r="AA6" s="12"/>
    </row>
    <row r="7" spans="1:27" x14ac:dyDescent="0.2">
      <c r="A7" s="8">
        <v>119177586</v>
      </c>
      <c r="B7" s="8">
        <v>45353580</v>
      </c>
      <c r="C7" s="8" t="s">
        <v>99</v>
      </c>
      <c r="D7" s="6" t="s">
        <v>42</v>
      </c>
      <c r="E7" s="6" t="s">
        <v>43</v>
      </c>
      <c r="F7" s="6" t="s">
        <v>18</v>
      </c>
      <c r="G7" s="6" t="s">
        <v>44</v>
      </c>
      <c r="H7" s="6" t="s">
        <v>15</v>
      </c>
      <c r="I7" s="8" t="s">
        <v>45</v>
      </c>
      <c r="J7" s="8" t="s">
        <v>14</v>
      </c>
      <c r="K7" s="8">
        <v>2003</v>
      </c>
      <c r="L7" s="8" t="s">
        <v>31</v>
      </c>
      <c r="M7" s="3" t="s">
        <v>161</v>
      </c>
      <c r="N7" s="3" t="s">
        <v>16</v>
      </c>
      <c r="O7" s="8">
        <v>1</v>
      </c>
      <c r="P7" s="3" t="s">
        <v>194</v>
      </c>
      <c r="Q7" s="7">
        <v>-35.7199752</v>
      </c>
      <c r="R7" s="7">
        <v>173.64937610000001</v>
      </c>
      <c r="S7" s="4" t="s">
        <v>201</v>
      </c>
      <c r="T7" s="8" t="s">
        <v>170</v>
      </c>
      <c r="U7" s="11">
        <v>100</v>
      </c>
      <c r="V7" s="11">
        <v>1200</v>
      </c>
      <c r="W7" s="11">
        <f>K7-V7</f>
        <v>803</v>
      </c>
      <c r="X7" s="11">
        <f>K7-U7</f>
        <v>1903</v>
      </c>
      <c r="Y7" s="12" t="s">
        <v>200</v>
      </c>
      <c r="Z7" s="10" t="s">
        <v>199</v>
      </c>
      <c r="AA7" s="12"/>
    </row>
    <row r="8" spans="1:27" x14ac:dyDescent="0.2">
      <c r="A8" s="8">
        <v>132055913</v>
      </c>
      <c r="B8" s="8">
        <v>22684647</v>
      </c>
      <c r="C8" s="8" t="s">
        <v>100</v>
      </c>
      <c r="D8" s="6" t="s">
        <v>47</v>
      </c>
      <c r="E8" s="6" t="s">
        <v>48</v>
      </c>
      <c r="F8" s="6" t="s">
        <v>23</v>
      </c>
      <c r="G8" s="6" t="s">
        <v>14</v>
      </c>
      <c r="H8" s="6" t="s">
        <v>19</v>
      </c>
      <c r="I8" s="8" t="s">
        <v>41</v>
      </c>
      <c r="J8" s="8" t="s">
        <v>14</v>
      </c>
      <c r="K8" s="8">
        <v>1992</v>
      </c>
      <c r="L8" s="8" t="s">
        <v>22</v>
      </c>
      <c r="M8" s="3" t="s">
        <v>19</v>
      </c>
      <c r="N8" s="3" t="s">
        <v>19</v>
      </c>
      <c r="P8" s="3" t="s">
        <v>192</v>
      </c>
      <c r="Q8" s="7">
        <v>-17.6797</v>
      </c>
      <c r="R8" s="7">
        <v>-149.4068</v>
      </c>
      <c r="S8" s="3" t="s">
        <v>192</v>
      </c>
      <c r="T8" s="8" t="s">
        <v>171</v>
      </c>
      <c r="U8" s="5">
        <v>1768</v>
      </c>
      <c r="V8" s="5">
        <v>1919</v>
      </c>
      <c r="W8" s="5">
        <f>K8-V8</f>
        <v>73</v>
      </c>
      <c r="X8" s="5">
        <f>K8-U8</f>
        <v>224</v>
      </c>
      <c r="Y8" s="8" t="s">
        <v>190</v>
      </c>
      <c r="Z8" s="9" t="s">
        <v>189</v>
      </c>
    </row>
    <row r="9" spans="1:27" x14ac:dyDescent="0.2">
      <c r="A9" s="8">
        <v>132055913</v>
      </c>
      <c r="B9" s="8">
        <v>22684647</v>
      </c>
      <c r="C9" s="8" t="s">
        <v>100</v>
      </c>
      <c r="D9" s="6" t="s">
        <v>47</v>
      </c>
      <c r="E9" s="6" t="s">
        <v>48</v>
      </c>
      <c r="F9" s="6" t="s">
        <v>23</v>
      </c>
      <c r="G9" s="6" t="s">
        <v>14</v>
      </c>
      <c r="H9" s="6" t="s">
        <v>19</v>
      </c>
      <c r="I9" s="8" t="s">
        <v>41</v>
      </c>
      <c r="J9" s="8" t="s">
        <v>14</v>
      </c>
      <c r="K9" s="8">
        <v>1992</v>
      </c>
      <c r="L9" s="8" t="s">
        <v>22</v>
      </c>
      <c r="M9" s="3" t="s">
        <v>19</v>
      </c>
      <c r="N9" s="3" t="s">
        <v>19</v>
      </c>
      <c r="P9" s="3" t="s">
        <v>203</v>
      </c>
      <c r="Q9" s="7">
        <v>-17.6797</v>
      </c>
      <c r="R9" s="7">
        <v>-149.4068</v>
      </c>
      <c r="S9" s="3" t="s">
        <v>204</v>
      </c>
      <c r="T9" s="8" t="s">
        <v>171</v>
      </c>
      <c r="U9" s="5">
        <v>1894</v>
      </c>
      <c r="V9" s="5">
        <v>1919</v>
      </c>
      <c r="W9" s="5">
        <f>K9-V9</f>
        <v>73</v>
      </c>
      <c r="X9" s="5">
        <f>K9-U9</f>
        <v>98</v>
      </c>
      <c r="Y9" s="10" t="s">
        <v>202</v>
      </c>
      <c r="Z9" s="9" t="s">
        <v>211</v>
      </c>
    </row>
    <row r="10" spans="1:27" x14ac:dyDescent="0.2">
      <c r="A10" s="8">
        <v>132468877</v>
      </c>
      <c r="B10" s="8">
        <v>132468585</v>
      </c>
      <c r="C10" s="8" t="s">
        <v>101</v>
      </c>
      <c r="D10" s="6" t="s">
        <v>49</v>
      </c>
      <c r="E10" s="6" t="s">
        <v>50</v>
      </c>
      <c r="F10" s="6" t="s">
        <v>23</v>
      </c>
      <c r="G10" s="6" t="s">
        <v>51</v>
      </c>
      <c r="H10" s="6" t="s">
        <v>16</v>
      </c>
      <c r="I10" s="6" t="s">
        <v>52</v>
      </c>
      <c r="J10" s="6" t="s">
        <v>14</v>
      </c>
      <c r="K10" s="8">
        <v>2002</v>
      </c>
      <c r="L10" s="6" t="s">
        <v>31</v>
      </c>
      <c r="M10" s="2" t="s">
        <v>16</v>
      </c>
      <c r="N10" s="2" t="s">
        <v>16</v>
      </c>
      <c r="O10" s="6"/>
      <c r="P10" s="2" t="s">
        <v>205</v>
      </c>
      <c r="Q10" s="7">
        <v>-35.891100000000002</v>
      </c>
      <c r="R10" s="8">
        <v>174.7303</v>
      </c>
      <c r="S10" s="4" t="s">
        <v>201</v>
      </c>
      <c r="T10" s="8" t="s">
        <v>172</v>
      </c>
      <c r="U10" s="11">
        <v>100</v>
      </c>
      <c r="V10" s="11">
        <v>1200</v>
      </c>
      <c r="W10" s="11">
        <f>K10-V10</f>
        <v>802</v>
      </c>
      <c r="X10" s="11">
        <f>K10-U10</f>
        <v>1902</v>
      </c>
      <c r="Y10" s="12" t="s">
        <v>200</v>
      </c>
      <c r="Z10" s="10" t="s">
        <v>199</v>
      </c>
      <c r="AA10" s="12"/>
    </row>
    <row r="11" spans="1:27" x14ac:dyDescent="0.2">
      <c r="A11" s="8">
        <v>132468877</v>
      </c>
      <c r="B11" s="8">
        <v>132468585</v>
      </c>
      <c r="C11" s="8" t="s">
        <v>102</v>
      </c>
      <c r="D11" s="6" t="s">
        <v>49</v>
      </c>
      <c r="E11" s="6" t="s">
        <v>50</v>
      </c>
      <c r="F11" s="6" t="s">
        <v>23</v>
      </c>
      <c r="G11" s="6" t="s">
        <v>51</v>
      </c>
      <c r="H11" s="6" t="s">
        <v>16</v>
      </c>
      <c r="I11" s="6" t="s">
        <v>52</v>
      </c>
      <c r="J11" s="6" t="s">
        <v>14</v>
      </c>
      <c r="K11" s="8">
        <v>2002</v>
      </c>
      <c r="L11" s="6" t="s">
        <v>31</v>
      </c>
      <c r="M11" s="2" t="s">
        <v>16</v>
      </c>
      <c r="N11" s="2" t="s">
        <v>16</v>
      </c>
      <c r="O11" s="6"/>
      <c r="P11" s="2" t="s">
        <v>205</v>
      </c>
      <c r="Q11" s="7">
        <v>-35.891100000000002</v>
      </c>
      <c r="R11" s="8">
        <v>174.7303</v>
      </c>
      <c r="S11" s="4" t="s">
        <v>201</v>
      </c>
      <c r="T11" s="8" t="s">
        <v>170</v>
      </c>
      <c r="U11" s="11">
        <v>100</v>
      </c>
      <c r="V11" s="11">
        <v>1200</v>
      </c>
      <c r="W11" s="11">
        <f>K11-V11</f>
        <v>802</v>
      </c>
      <c r="X11" s="11">
        <f>K11-U11</f>
        <v>1902</v>
      </c>
      <c r="Y11" s="12" t="s">
        <v>200</v>
      </c>
      <c r="Z11" s="10" t="s">
        <v>199</v>
      </c>
      <c r="AA11" s="12"/>
    </row>
    <row r="12" spans="1:27" x14ac:dyDescent="0.2">
      <c r="A12" s="8">
        <v>132616449</v>
      </c>
      <c r="B12" s="8">
        <v>22697975</v>
      </c>
      <c r="C12" s="8" t="s">
        <v>103</v>
      </c>
      <c r="D12" s="6" t="s">
        <v>54</v>
      </c>
      <c r="E12" s="6" t="s">
        <v>55</v>
      </c>
      <c r="F12" s="6" t="s">
        <v>18</v>
      </c>
      <c r="G12" s="6" t="s">
        <v>56</v>
      </c>
      <c r="H12" s="6" t="s">
        <v>32</v>
      </c>
      <c r="I12" s="6" t="s">
        <v>57</v>
      </c>
      <c r="J12" s="6" t="s">
        <v>14</v>
      </c>
      <c r="K12" s="8">
        <v>2003</v>
      </c>
      <c r="L12" s="6" t="s">
        <v>31</v>
      </c>
      <c r="M12" s="2" t="s">
        <v>16</v>
      </c>
      <c r="N12" s="2" t="s">
        <v>16</v>
      </c>
      <c r="O12" s="6"/>
      <c r="P12" s="2" t="s">
        <v>58</v>
      </c>
      <c r="Q12" s="7">
        <v>-36.194600000000001</v>
      </c>
      <c r="R12" s="8">
        <v>175.0753</v>
      </c>
      <c r="S12" s="4" t="s">
        <v>201</v>
      </c>
      <c r="T12" s="8" t="s">
        <v>172</v>
      </c>
      <c r="U12" s="11">
        <v>100</v>
      </c>
      <c r="V12" s="11">
        <v>1200</v>
      </c>
      <c r="W12" s="11">
        <f>K12-V12</f>
        <v>803</v>
      </c>
      <c r="X12" s="11">
        <f>K12-U12</f>
        <v>1903</v>
      </c>
      <c r="Y12" s="12" t="s">
        <v>200</v>
      </c>
      <c r="Z12" s="10" t="s">
        <v>199</v>
      </c>
      <c r="AA12" s="12"/>
    </row>
    <row r="13" spans="1:27" x14ac:dyDescent="0.2">
      <c r="A13" s="8">
        <v>132616888</v>
      </c>
      <c r="B13" s="8">
        <v>22697984</v>
      </c>
      <c r="C13" s="8" t="s">
        <v>104</v>
      </c>
      <c r="D13" s="6" t="s">
        <v>59</v>
      </c>
      <c r="E13" s="6" t="s">
        <v>60</v>
      </c>
      <c r="F13" s="6" t="s">
        <v>18</v>
      </c>
      <c r="G13" s="6" t="s">
        <v>14</v>
      </c>
      <c r="H13" s="6" t="s">
        <v>16</v>
      </c>
      <c r="I13" s="6" t="s">
        <v>52</v>
      </c>
      <c r="J13" s="6" t="s">
        <v>14</v>
      </c>
      <c r="K13" s="8">
        <v>2002</v>
      </c>
      <c r="L13" s="6" t="s">
        <v>31</v>
      </c>
      <c r="M13" s="2" t="s">
        <v>16</v>
      </c>
      <c r="N13" s="2" t="s">
        <v>16</v>
      </c>
      <c r="O13" s="6"/>
      <c r="P13" s="2" t="s">
        <v>205</v>
      </c>
      <c r="Q13" s="7">
        <v>-35.891100000000002</v>
      </c>
      <c r="R13" s="8">
        <v>174.7303</v>
      </c>
      <c r="S13" s="4" t="s">
        <v>201</v>
      </c>
      <c r="T13" s="8" t="s">
        <v>172</v>
      </c>
      <c r="U13" s="11">
        <v>100</v>
      </c>
      <c r="V13" s="11">
        <v>1200</v>
      </c>
      <c r="W13" s="11">
        <f>K13-V13</f>
        <v>802</v>
      </c>
      <c r="X13" s="11">
        <f>K13-U13</f>
        <v>1902</v>
      </c>
      <c r="Y13" s="12" t="s">
        <v>200</v>
      </c>
      <c r="Z13" s="10" t="s">
        <v>199</v>
      </c>
      <c r="AA13" s="12"/>
    </row>
    <row r="14" spans="1:27" x14ac:dyDescent="0.2">
      <c r="A14" s="8">
        <v>132616888</v>
      </c>
      <c r="B14" s="8">
        <v>22697984</v>
      </c>
      <c r="C14" s="8" t="s">
        <v>105</v>
      </c>
      <c r="D14" s="6" t="s">
        <v>59</v>
      </c>
      <c r="E14" s="6" t="s">
        <v>60</v>
      </c>
      <c r="F14" s="6" t="s">
        <v>18</v>
      </c>
      <c r="G14" s="6" t="s">
        <v>14</v>
      </c>
      <c r="H14" s="6" t="s">
        <v>16</v>
      </c>
      <c r="I14" s="6" t="s">
        <v>52</v>
      </c>
      <c r="J14" s="6" t="s">
        <v>14</v>
      </c>
      <c r="K14" s="8">
        <v>2002</v>
      </c>
      <c r="L14" s="6" t="s">
        <v>31</v>
      </c>
      <c r="M14" s="2" t="s">
        <v>16</v>
      </c>
      <c r="N14" s="2" t="s">
        <v>16</v>
      </c>
      <c r="O14" s="6"/>
      <c r="P14" s="2" t="s">
        <v>205</v>
      </c>
      <c r="Q14" s="7">
        <v>-35.891100000000002</v>
      </c>
      <c r="R14" s="8">
        <v>174.7303</v>
      </c>
      <c r="S14" s="4" t="s">
        <v>201</v>
      </c>
      <c r="T14" s="6" t="s">
        <v>170</v>
      </c>
      <c r="U14" s="11">
        <v>100</v>
      </c>
      <c r="V14" s="11">
        <v>1200</v>
      </c>
      <c r="W14" s="11">
        <f>K14-V14</f>
        <v>802</v>
      </c>
      <c r="X14" s="11">
        <f>K14-U14</f>
        <v>1902</v>
      </c>
      <c r="Y14" s="12" t="s">
        <v>200</v>
      </c>
      <c r="Z14" s="10" t="s">
        <v>199</v>
      </c>
      <c r="AA14" s="12"/>
    </row>
    <row r="15" spans="1:27" x14ac:dyDescent="0.2">
      <c r="A15" s="8">
        <v>132637221</v>
      </c>
      <c r="B15" s="8">
        <v>22698230</v>
      </c>
      <c r="C15" s="8" t="s">
        <v>106</v>
      </c>
      <c r="D15" s="6" t="s">
        <v>61</v>
      </c>
      <c r="E15" s="6" t="s">
        <v>62</v>
      </c>
      <c r="F15" s="6" t="s">
        <v>18</v>
      </c>
      <c r="G15" s="6" t="s">
        <v>14</v>
      </c>
      <c r="H15" s="6" t="s">
        <v>19</v>
      </c>
      <c r="I15" s="6" t="s">
        <v>63</v>
      </c>
      <c r="J15" s="6" t="s">
        <v>14</v>
      </c>
      <c r="K15" s="8">
        <v>2013</v>
      </c>
      <c r="L15" s="6" t="s">
        <v>31</v>
      </c>
      <c r="M15" s="2" t="s">
        <v>19</v>
      </c>
      <c r="N15" s="2" t="s">
        <v>19</v>
      </c>
      <c r="O15" s="6"/>
      <c r="P15" s="2" t="s">
        <v>64</v>
      </c>
      <c r="Q15" s="7">
        <v>37.106999999999999</v>
      </c>
      <c r="R15" s="8">
        <v>10.8744</v>
      </c>
      <c r="S15" s="3" t="s">
        <v>116</v>
      </c>
      <c r="T15" s="8" t="s">
        <v>169</v>
      </c>
      <c r="U15" s="11">
        <v>400</v>
      </c>
      <c r="V15" s="11">
        <v>1000</v>
      </c>
      <c r="W15" s="11">
        <f>K15-V15</f>
        <v>1013</v>
      </c>
      <c r="X15" s="11">
        <f>K15-U15</f>
        <v>1613</v>
      </c>
      <c r="Y15" s="10" t="s">
        <v>206</v>
      </c>
      <c r="Z15" s="10" t="s">
        <v>207</v>
      </c>
      <c r="AA15" s="12"/>
    </row>
    <row r="16" spans="1:27" x14ac:dyDescent="0.2">
      <c r="A16" s="8">
        <v>132637221</v>
      </c>
      <c r="B16" s="8">
        <v>22698230</v>
      </c>
      <c r="C16" s="8" t="s">
        <v>107</v>
      </c>
      <c r="D16" s="6" t="s">
        <v>61</v>
      </c>
      <c r="E16" s="6" t="s">
        <v>62</v>
      </c>
      <c r="F16" s="6" t="s">
        <v>18</v>
      </c>
      <c r="G16" s="6" t="s">
        <v>14</v>
      </c>
      <c r="H16" s="6" t="s">
        <v>19</v>
      </c>
      <c r="I16" s="6" t="s">
        <v>65</v>
      </c>
      <c r="J16" s="6" t="s">
        <v>14</v>
      </c>
      <c r="K16" s="8">
        <v>2000</v>
      </c>
      <c r="L16" s="6" t="s">
        <v>22</v>
      </c>
      <c r="M16" s="2" t="s">
        <v>19</v>
      </c>
      <c r="N16" s="2" t="s">
        <v>19</v>
      </c>
      <c r="O16" s="6"/>
      <c r="P16" s="2" t="s">
        <v>66</v>
      </c>
      <c r="Q16" s="7">
        <v>39.140700000000002</v>
      </c>
      <c r="R16" s="8">
        <v>2.9451000000000001</v>
      </c>
      <c r="S16" s="3" t="s">
        <v>208</v>
      </c>
      <c r="T16" s="8" t="s">
        <v>169</v>
      </c>
      <c r="U16" s="11">
        <v>-200</v>
      </c>
      <c r="V16" s="11">
        <v>-100</v>
      </c>
      <c r="W16" s="11">
        <f>K16-V16</f>
        <v>2100</v>
      </c>
      <c r="X16" s="11">
        <f>K16-U16</f>
        <v>2200</v>
      </c>
      <c r="Y16" s="10" t="s">
        <v>209</v>
      </c>
      <c r="Z16" s="10" t="s">
        <v>207</v>
      </c>
      <c r="AA16" s="12"/>
    </row>
    <row r="17" spans="1:27" x14ac:dyDescent="0.2">
      <c r="A17" s="8">
        <v>178995789</v>
      </c>
      <c r="B17" s="8">
        <v>62101249</v>
      </c>
      <c r="C17" s="8" t="s">
        <v>108</v>
      </c>
      <c r="D17" s="6" t="s">
        <v>70</v>
      </c>
      <c r="E17" s="6" t="s">
        <v>71</v>
      </c>
      <c r="F17" s="6" t="s">
        <v>18</v>
      </c>
      <c r="G17" s="6" t="s">
        <v>72</v>
      </c>
      <c r="H17" s="6" t="s">
        <v>73</v>
      </c>
      <c r="I17" s="6" t="s">
        <v>67</v>
      </c>
      <c r="J17" s="6" t="s">
        <v>74</v>
      </c>
      <c r="K17" s="8">
        <v>2016</v>
      </c>
      <c r="L17" s="6" t="s">
        <v>28</v>
      </c>
      <c r="M17" s="2" t="s">
        <v>19</v>
      </c>
      <c r="N17" s="2" t="s">
        <v>19</v>
      </c>
      <c r="O17" s="6"/>
      <c r="P17" s="2" t="s">
        <v>68</v>
      </c>
      <c r="Q17" s="7">
        <v>34.004399999999997</v>
      </c>
      <c r="R17" s="8">
        <v>-119.39960000000001</v>
      </c>
      <c r="S17" s="2" t="s">
        <v>68</v>
      </c>
      <c r="T17" s="8" t="s">
        <v>172</v>
      </c>
      <c r="U17" s="11">
        <v>1901</v>
      </c>
      <c r="V17" s="11">
        <v>1925</v>
      </c>
      <c r="W17" s="11">
        <f>K17-V17</f>
        <v>91</v>
      </c>
      <c r="X17" s="11">
        <f>K17-U17</f>
        <v>115</v>
      </c>
      <c r="Y17" s="10" t="s">
        <v>210</v>
      </c>
      <c r="Z17" s="10" t="s">
        <v>67</v>
      </c>
      <c r="AA17" s="12"/>
    </row>
    <row r="18" spans="1:27" x14ac:dyDescent="0.2">
      <c r="A18" s="8">
        <v>178995789</v>
      </c>
      <c r="B18" s="8">
        <v>62101249</v>
      </c>
      <c r="C18" s="8" t="s">
        <v>109</v>
      </c>
      <c r="D18" s="6" t="s">
        <v>70</v>
      </c>
      <c r="E18" s="6" t="s">
        <v>71</v>
      </c>
      <c r="F18" s="6" t="s">
        <v>18</v>
      </c>
      <c r="G18" s="6" t="s">
        <v>72</v>
      </c>
      <c r="H18" s="6" t="s">
        <v>73</v>
      </c>
      <c r="I18" s="6" t="s">
        <v>67</v>
      </c>
      <c r="J18" s="6" t="s">
        <v>74</v>
      </c>
      <c r="K18" s="8">
        <v>2016</v>
      </c>
      <c r="L18" s="6" t="s">
        <v>28</v>
      </c>
      <c r="M18" s="2" t="s">
        <v>19</v>
      </c>
      <c r="N18" s="2" t="s">
        <v>19</v>
      </c>
      <c r="O18" s="6"/>
      <c r="P18" s="2" t="s">
        <v>68</v>
      </c>
      <c r="Q18" s="7">
        <v>34.004399999999997</v>
      </c>
      <c r="R18" s="8">
        <v>-119.39960000000001</v>
      </c>
      <c r="S18" s="2" t="s">
        <v>68</v>
      </c>
      <c r="T18" s="8" t="s">
        <v>172</v>
      </c>
      <c r="U18" s="11">
        <v>1901</v>
      </c>
      <c r="V18" s="11">
        <v>1925</v>
      </c>
      <c r="W18" s="11">
        <f>K18-V18</f>
        <v>91</v>
      </c>
      <c r="X18" s="11">
        <f>K18-U18</f>
        <v>115</v>
      </c>
      <c r="Y18" s="10" t="s">
        <v>210</v>
      </c>
      <c r="Z18" s="10" t="s">
        <v>67</v>
      </c>
      <c r="AA18" s="12"/>
    </row>
    <row r="19" spans="1:27" x14ac:dyDescent="0.2">
      <c r="A19" s="8">
        <v>178995789</v>
      </c>
      <c r="B19" s="8">
        <v>62101249</v>
      </c>
      <c r="C19" s="8" t="s">
        <v>110</v>
      </c>
      <c r="D19" s="6" t="s">
        <v>70</v>
      </c>
      <c r="E19" s="6" t="s">
        <v>71</v>
      </c>
      <c r="F19" s="6" t="s">
        <v>18</v>
      </c>
      <c r="G19" s="6" t="s">
        <v>72</v>
      </c>
      <c r="H19" s="6" t="s">
        <v>73</v>
      </c>
      <c r="I19" s="6" t="s">
        <v>67</v>
      </c>
      <c r="J19" s="6" t="s">
        <v>74</v>
      </c>
      <c r="K19" s="8">
        <v>2016</v>
      </c>
      <c r="L19" s="6" t="s">
        <v>28</v>
      </c>
      <c r="M19" s="2" t="s">
        <v>19</v>
      </c>
      <c r="N19" s="2" t="s">
        <v>19</v>
      </c>
      <c r="O19" s="6"/>
      <c r="P19" s="2" t="s">
        <v>68</v>
      </c>
      <c r="Q19" s="7">
        <v>34.004399999999997</v>
      </c>
      <c r="R19" s="8">
        <v>-119.39960000000001</v>
      </c>
      <c r="S19" s="2" t="s">
        <v>68</v>
      </c>
      <c r="T19" s="8" t="s">
        <v>172</v>
      </c>
      <c r="U19" s="11">
        <v>1901</v>
      </c>
      <c r="V19" s="11">
        <v>1925</v>
      </c>
      <c r="W19" s="11">
        <f>K19-V19</f>
        <v>91</v>
      </c>
      <c r="X19" s="11">
        <f>K19-U19</f>
        <v>115</v>
      </c>
      <c r="Y19" s="10" t="s">
        <v>210</v>
      </c>
      <c r="Z19" s="10" t="s">
        <v>67</v>
      </c>
    </row>
    <row r="20" spans="1:27" x14ac:dyDescent="0.2">
      <c r="A20" s="8">
        <v>179182366</v>
      </c>
      <c r="B20" s="8">
        <v>22693785</v>
      </c>
      <c r="C20" s="8" t="s">
        <v>111</v>
      </c>
      <c r="D20" s="6" t="s">
        <v>75</v>
      </c>
      <c r="E20" s="6" t="s">
        <v>76</v>
      </c>
      <c r="F20" s="6" t="s">
        <v>18</v>
      </c>
      <c r="G20" s="6" t="s">
        <v>177</v>
      </c>
      <c r="H20" s="6" t="s">
        <v>53</v>
      </c>
      <c r="I20" s="6" t="s">
        <v>78</v>
      </c>
      <c r="J20" s="6" t="s">
        <v>14</v>
      </c>
      <c r="K20" s="8">
        <v>2014</v>
      </c>
      <c r="L20" s="6" t="s">
        <v>28</v>
      </c>
      <c r="M20" s="2" t="s">
        <v>30</v>
      </c>
      <c r="N20" s="2" t="s">
        <v>19</v>
      </c>
      <c r="O20" s="6"/>
      <c r="P20" s="2" t="s">
        <v>77</v>
      </c>
      <c r="Q20" s="7">
        <v>-27.385200000000001</v>
      </c>
      <c r="R20" s="8">
        <v>153.2345</v>
      </c>
      <c r="S20" s="2" t="s">
        <v>77</v>
      </c>
      <c r="T20" s="6" t="s">
        <v>169</v>
      </c>
      <c r="U20" s="5">
        <v>1513</v>
      </c>
      <c r="V20" s="5">
        <v>1665</v>
      </c>
      <c r="W20" s="11">
        <f t="shared" ref="W20:W21" si="0">K20-V20</f>
        <v>349</v>
      </c>
      <c r="X20" s="11">
        <f t="shared" ref="X20:X21" si="1">K20-U20</f>
        <v>501</v>
      </c>
      <c r="Y20" s="10" t="s">
        <v>117</v>
      </c>
      <c r="Z20" s="9" t="s">
        <v>211</v>
      </c>
    </row>
    <row r="21" spans="1:27" x14ac:dyDescent="0.2">
      <c r="A21" s="8">
        <v>179182366</v>
      </c>
      <c r="B21" s="8">
        <v>22693785</v>
      </c>
      <c r="C21" s="8" t="s">
        <v>111</v>
      </c>
      <c r="D21" s="6" t="s">
        <v>75</v>
      </c>
      <c r="E21" s="6" t="s">
        <v>76</v>
      </c>
      <c r="F21" s="6" t="s">
        <v>18</v>
      </c>
      <c r="G21" s="6" t="s">
        <v>177</v>
      </c>
      <c r="H21" s="6" t="s">
        <v>53</v>
      </c>
      <c r="I21" s="6" t="s">
        <v>78</v>
      </c>
      <c r="J21" s="6" t="s">
        <v>14</v>
      </c>
      <c r="K21" s="8">
        <v>2014</v>
      </c>
      <c r="L21" s="6" t="s">
        <v>28</v>
      </c>
      <c r="M21" s="2" t="s">
        <v>30</v>
      </c>
      <c r="N21" s="2" t="s">
        <v>17</v>
      </c>
      <c r="O21" s="6"/>
      <c r="P21" s="2" t="s">
        <v>77</v>
      </c>
      <c r="Q21" s="7">
        <v>-27.385200000000001</v>
      </c>
      <c r="R21" s="8">
        <v>153.2345</v>
      </c>
      <c r="S21" s="2" t="s">
        <v>77</v>
      </c>
      <c r="T21" s="6" t="s">
        <v>169</v>
      </c>
      <c r="U21" s="5">
        <v>1730</v>
      </c>
      <c r="V21" s="5">
        <v>1800</v>
      </c>
      <c r="W21" s="11">
        <f t="shared" si="0"/>
        <v>214</v>
      </c>
      <c r="X21" s="11">
        <f t="shared" si="1"/>
        <v>284</v>
      </c>
      <c r="Y21" s="10" t="s">
        <v>117</v>
      </c>
      <c r="Z21" s="9" t="s">
        <v>211</v>
      </c>
    </row>
    <row r="22" spans="1:27" x14ac:dyDescent="0.2">
      <c r="A22" s="8">
        <v>198765127</v>
      </c>
      <c r="B22" s="8">
        <v>22684641</v>
      </c>
      <c r="C22" s="8" t="s">
        <v>112</v>
      </c>
      <c r="D22" s="6" t="s">
        <v>79</v>
      </c>
      <c r="E22" s="6" t="s">
        <v>80</v>
      </c>
      <c r="F22" s="6" t="s">
        <v>18</v>
      </c>
      <c r="G22" s="6" t="s">
        <v>14</v>
      </c>
      <c r="H22" s="6" t="s">
        <v>19</v>
      </c>
      <c r="I22" s="8" t="s">
        <v>41</v>
      </c>
      <c r="J22" s="8" t="s">
        <v>14</v>
      </c>
      <c r="K22" s="8">
        <v>1992</v>
      </c>
      <c r="L22" s="8" t="s">
        <v>22</v>
      </c>
      <c r="M22" s="3" t="s">
        <v>19</v>
      </c>
      <c r="N22" s="3" t="s">
        <v>19</v>
      </c>
      <c r="P22" s="3" t="s">
        <v>204</v>
      </c>
      <c r="Q22" s="7">
        <v>-17.6797</v>
      </c>
      <c r="R22" s="7">
        <v>-149.4068</v>
      </c>
      <c r="S22" s="3" t="s">
        <v>204</v>
      </c>
      <c r="T22" s="8" t="s">
        <v>171</v>
      </c>
      <c r="U22" s="5">
        <v>1894</v>
      </c>
      <c r="V22" s="5">
        <v>1919</v>
      </c>
      <c r="W22" s="5">
        <f>K22-V22</f>
        <v>73</v>
      </c>
      <c r="X22" s="5">
        <f>K22-U22</f>
        <v>98</v>
      </c>
      <c r="Y22" s="10" t="s">
        <v>202</v>
      </c>
      <c r="Z22" s="9" t="s">
        <v>211</v>
      </c>
    </row>
    <row r="23" spans="1:27" x14ac:dyDescent="0.2">
      <c r="A23" s="8">
        <v>209465053</v>
      </c>
      <c r="B23" s="8">
        <v>22705397</v>
      </c>
      <c r="C23" s="8" t="s">
        <v>113</v>
      </c>
      <c r="D23" s="6" t="s">
        <v>81</v>
      </c>
      <c r="E23" s="6" t="s">
        <v>82</v>
      </c>
      <c r="F23" s="6" t="s">
        <v>21</v>
      </c>
      <c r="G23" s="6" t="s">
        <v>14</v>
      </c>
      <c r="H23" s="6" t="s">
        <v>19</v>
      </c>
      <c r="I23" s="6" t="s">
        <v>83</v>
      </c>
      <c r="J23" s="6" t="s">
        <v>14</v>
      </c>
      <c r="K23" s="8">
        <v>1996</v>
      </c>
      <c r="L23" s="6" t="s">
        <v>31</v>
      </c>
      <c r="M23" s="2" t="s">
        <v>19</v>
      </c>
      <c r="N23" s="2" t="s">
        <v>19</v>
      </c>
      <c r="O23" s="6"/>
      <c r="P23" s="2" t="s">
        <v>84</v>
      </c>
      <c r="Q23" s="7">
        <v>-42.936300000000003</v>
      </c>
      <c r="R23" s="7">
        <v>171.7251</v>
      </c>
      <c r="S23" s="4" t="s">
        <v>197</v>
      </c>
      <c r="T23" s="8" t="s">
        <v>173</v>
      </c>
      <c r="U23" s="11">
        <v>1860</v>
      </c>
      <c r="V23" s="11">
        <v>1860</v>
      </c>
      <c r="W23" s="11">
        <f t="shared" ref="W23:W25" si="2">K23-V23</f>
        <v>136</v>
      </c>
      <c r="X23" s="11">
        <f t="shared" ref="X23:X25" si="3">K23-U23</f>
        <v>136</v>
      </c>
      <c r="Y23" s="12" t="s">
        <v>196</v>
      </c>
      <c r="Z23" s="10" t="s">
        <v>195</v>
      </c>
    </row>
    <row r="24" spans="1:27" x14ac:dyDescent="0.2">
      <c r="A24" s="8">
        <v>209465053</v>
      </c>
      <c r="B24" s="8">
        <v>22705397</v>
      </c>
      <c r="C24" s="8" t="s">
        <v>114</v>
      </c>
      <c r="D24" s="6" t="s">
        <v>81</v>
      </c>
      <c r="E24" s="6" t="s">
        <v>82</v>
      </c>
      <c r="F24" s="6" t="s">
        <v>21</v>
      </c>
      <c r="G24" s="6" t="s">
        <v>14</v>
      </c>
      <c r="H24" s="6" t="s">
        <v>19</v>
      </c>
      <c r="I24" s="6" t="s">
        <v>83</v>
      </c>
      <c r="J24" s="6" t="s">
        <v>14</v>
      </c>
      <c r="K24" s="8">
        <v>1996</v>
      </c>
      <c r="L24" s="6" t="s">
        <v>31</v>
      </c>
      <c r="M24" s="2" t="s">
        <v>19</v>
      </c>
      <c r="N24" s="2" t="s">
        <v>19</v>
      </c>
      <c r="O24" s="6"/>
      <c r="P24" s="2" t="s">
        <v>84</v>
      </c>
      <c r="Q24" s="7">
        <v>-42.936300000000003</v>
      </c>
      <c r="R24" s="7">
        <v>171.7251</v>
      </c>
      <c r="S24" s="4" t="s">
        <v>197</v>
      </c>
      <c r="T24" s="8" t="s">
        <v>174</v>
      </c>
      <c r="U24" s="11">
        <v>1860</v>
      </c>
      <c r="V24" s="11">
        <v>1860</v>
      </c>
      <c r="W24" s="11">
        <f t="shared" si="2"/>
        <v>136</v>
      </c>
      <c r="X24" s="11">
        <f t="shared" si="3"/>
        <v>136</v>
      </c>
      <c r="Y24" s="12" t="s">
        <v>196</v>
      </c>
      <c r="Z24" s="10" t="s">
        <v>195</v>
      </c>
    </row>
    <row r="25" spans="1:27" x14ac:dyDescent="0.2">
      <c r="A25" s="8">
        <v>209465053</v>
      </c>
      <c r="B25" s="8">
        <v>22705397</v>
      </c>
      <c r="C25" s="8" t="s">
        <v>115</v>
      </c>
      <c r="D25" s="6" t="s">
        <v>81</v>
      </c>
      <c r="E25" s="6" t="s">
        <v>82</v>
      </c>
      <c r="F25" s="6" t="s">
        <v>21</v>
      </c>
      <c r="G25" s="6" t="s">
        <v>14</v>
      </c>
      <c r="H25" s="6" t="s">
        <v>19</v>
      </c>
      <c r="I25" s="6" t="s">
        <v>83</v>
      </c>
      <c r="J25" s="6" t="s">
        <v>14</v>
      </c>
      <c r="K25" s="8">
        <v>1996</v>
      </c>
      <c r="L25" s="6" t="s">
        <v>31</v>
      </c>
      <c r="M25" s="2" t="s">
        <v>19</v>
      </c>
      <c r="N25" s="2" t="s">
        <v>19</v>
      </c>
      <c r="O25" s="6"/>
      <c r="P25" s="2" t="s">
        <v>84</v>
      </c>
      <c r="Q25" s="7">
        <v>-42.936300000000003</v>
      </c>
      <c r="R25" s="7">
        <v>171.7251</v>
      </c>
      <c r="S25" s="4" t="s">
        <v>197</v>
      </c>
      <c r="T25" s="8" t="s">
        <v>174</v>
      </c>
      <c r="U25" s="11">
        <v>1860</v>
      </c>
      <c r="V25" s="11">
        <v>1860</v>
      </c>
      <c r="W25" s="11">
        <f t="shared" si="2"/>
        <v>136</v>
      </c>
      <c r="X25" s="11">
        <f t="shared" si="3"/>
        <v>136</v>
      </c>
      <c r="Y25" s="12" t="s">
        <v>196</v>
      </c>
      <c r="Z25" s="10" t="s">
        <v>195</v>
      </c>
    </row>
    <row r="26" spans="1:27" x14ac:dyDescent="0.2">
      <c r="A26" s="8">
        <v>209465053</v>
      </c>
      <c r="B26" s="8">
        <v>22705397</v>
      </c>
      <c r="C26" s="8" t="s">
        <v>127</v>
      </c>
      <c r="D26" s="6" t="s">
        <v>81</v>
      </c>
      <c r="E26" s="6" t="s">
        <v>82</v>
      </c>
      <c r="F26" s="6" t="s">
        <v>21</v>
      </c>
      <c r="G26" s="6" t="s">
        <v>14</v>
      </c>
      <c r="H26" s="6" t="s">
        <v>19</v>
      </c>
      <c r="I26" s="6" t="s">
        <v>85</v>
      </c>
      <c r="J26" s="6" t="s">
        <v>14</v>
      </c>
      <c r="K26" s="8">
        <v>2012</v>
      </c>
      <c r="L26" s="6" t="s">
        <v>31</v>
      </c>
      <c r="M26" s="2" t="s">
        <v>19</v>
      </c>
      <c r="N26" s="2" t="s">
        <v>19</v>
      </c>
      <c r="O26" s="6"/>
      <c r="P26" s="2" t="s">
        <v>86</v>
      </c>
      <c r="Q26" s="7">
        <v>-43.9711</v>
      </c>
      <c r="R26" s="7">
        <v>169.46780000000001</v>
      </c>
      <c r="S26" s="4" t="s">
        <v>197</v>
      </c>
      <c r="T26" s="6" t="s">
        <v>170</v>
      </c>
      <c r="U26" s="11">
        <v>1860</v>
      </c>
      <c r="V26" s="11">
        <v>1860</v>
      </c>
      <c r="W26" s="11">
        <f t="shared" ref="W26" si="4">K26-V26</f>
        <v>152</v>
      </c>
      <c r="X26" s="11">
        <f t="shared" ref="X26" si="5">K26-U26</f>
        <v>152</v>
      </c>
      <c r="Y26" s="12" t="s">
        <v>196</v>
      </c>
      <c r="Z26" s="10" t="s">
        <v>195</v>
      </c>
    </row>
    <row r="27" spans="1:27" x14ac:dyDescent="0.2">
      <c r="A27" s="8">
        <v>209465053</v>
      </c>
      <c r="B27" s="8">
        <v>22705397</v>
      </c>
      <c r="C27" s="8" t="s">
        <v>132</v>
      </c>
      <c r="D27" s="6" t="s">
        <v>81</v>
      </c>
      <c r="E27" s="6" t="s">
        <v>82</v>
      </c>
      <c r="F27" s="6" t="s">
        <v>21</v>
      </c>
      <c r="G27" s="6" t="s">
        <v>14</v>
      </c>
      <c r="H27" s="6" t="s">
        <v>19</v>
      </c>
      <c r="I27" s="6" t="s">
        <v>87</v>
      </c>
      <c r="J27" s="6" t="s">
        <v>14</v>
      </c>
      <c r="K27" s="8">
        <v>2003</v>
      </c>
      <c r="L27" s="6" t="s">
        <v>31</v>
      </c>
      <c r="M27" s="2" t="s">
        <v>19</v>
      </c>
      <c r="N27" s="2" t="s">
        <v>19</v>
      </c>
      <c r="O27" s="6"/>
      <c r="P27" s="2" t="s">
        <v>88</v>
      </c>
      <c r="Q27" s="7">
        <v>-45.408499999999997</v>
      </c>
      <c r="R27" s="7">
        <v>167.35910000000001</v>
      </c>
      <c r="S27" s="4" t="s">
        <v>197</v>
      </c>
      <c r="T27" s="6" t="s">
        <v>170</v>
      </c>
      <c r="U27" s="11">
        <v>1860</v>
      </c>
      <c r="V27" s="11">
        <v>1860</v>
      </c>
      <c r="W27" s="11">
        <f t="shared" ref="W27:W28" si="6">K27-V27</f>
        <v>143</v>
      </c>
      <c r="X27" s="11">
        <f t="shared" ref="X27:X28" si="7">K27-U27</f>
        <v>143</v>
      </c>
      <c r="Y27" s="12" t="s">
        <v>196</v>
      </c>
      <c r="Z27" s="10" t="s">
        <v>195</v>
      </c>
    </row>
    <row r="28" spans="1:27" x14ac:dyDescent="0.2">
      <c r="A28" s="8">
        <v>209465053</v>
      </c>
      <c r="B28" s="8">
        <v>22705397</v>
      </c>
      <c r="C28" s="8" t="s">
        <v>134</v>
      </c>
      <c r="D28" s="6" t="s">
        <v>81</v>
      </c>
      <c r="E28" s="6" t="s">
        <v>82</v>
      </c>
      <c r="F28" s="6" t="s">
        <v>21</v>
      </c>
      <c r="G28" s="6" t="s">
        <v>14</v>
      </c>
      <c r="H28" s="6" t="s">
        <v>19</v>
      </c>
      <c r="I28" s="6" t="s">
        <v>87</v>
      </c>
      <c r="J28" s="6" t="s">
        <v>14</v>
      </c>
      <c r="K28" s="8">
        <v>2003</v>
      </c>
      <c r="L28" s="6" t="s">
        <v>31</v>
      </c>
      <c r="M28" s="2" t="s">
        <v>19</v>
      </c>
      <c r="N28" s="2" t="s">
        <v>19</v>
      </c>
      <c r="O28" s="6"/>
      <c r="P28" s="2" t="s">
        <v>88</v>
      </c>
      <c r="Q28" s="7">
        <v>-45.408499999999997</v>
      </c>
      <c r="R28" s="7">
        <v>167.35910000000001</v>
      </c>
      <c r="S28" s="4" t="s">
        <v>197</v>
      </c>
      <c r="T28" s="6" t="s">
        <v>170</v>
      </c>
      <c r="U28" s="11">
        <v>1860</v>
      </c>
      <c r="V28" s="11">
        <v>1860</v>
      </c>
      <c r="W28" s="11">
        <f t="shared" si="6"/>
        <v>143</v>
      </c>
      <c r="X28" s="11">
        <f t="shared" si="7"/>
        <v>143</v>
      </c>
      <c r="Y28" s="12" t="s">
        <v>196</v>
      </c>
      <c r="Z28" s="10" t="s">
        <v>195</v>
      </c>
    </row>
    <row r="29" spans="1:27" x14ac:dyDescent="0.2">
      <c r="A29" s="8">
        <v>213764778</v>
      </c>
      <c r="B29" s="8">
        <v>22685175</v>
      </c>
      <c r="C29" s="8" t="s">
        <v>135</v>
      </c>
      <c r="D29" s="6" t="s">
        <v>89</v>
      </c>
      <c r="E29" s="6" t="s">
        <v>90</v>
      </c>
      <c r="F29" s="6" t="s">
        <v>21</v>
      </c>
      <c r="G29" s="6" t="s">
        <v>14</v>
      </c>
      <c r="H29" s="6" t="s">
        <v>15</v>
      </c>
      <c r="I29" s="6" t="s">
        <v>85</v>
      </c>
      <c r="J29" s="6" t="s">
        <v>14</v>
      </c>
      <c r="K29" s="8">
        <v>2012</v>
      </c>
      <c r="L29" s="6" t="s">
        <v>31</v>
      </c>
      <c r="M29" s="2" t="s">
        <v>19</v>
      </c>
      <c r="N29" s="2" t="s">
        <v>19</v>
      </c>
      <c r="O29" s="6"/>
      <c r="P29" s="2" t="s">
        <v>86</v>
      </c>
      <c r="Q29" s="7">
        <v>-43.9711</v>
      </c>
      <c r="R29" s="7">
        <v>169.46780000000001</v>
      </c>
      <c r="S29" s="4" t="s">
        <v>197</v>
      </c>
      <c r="T29" s="6" t="s">
        <v>170</v>
      </c>
      <c r="U29" s="11">
        <v>1860</v>
      </c>
      <c r="V29" s="11">
        <v>1860</v>
      </c>
      <c r="W29" s="11">
        <f t="shared" ref="W29" si="8">K29-V29</f>
        <v>152</v>
      </c>
      <c r="X29" s="11">
        <f t="shared" ref="X29" si="9">K29-U29</f>
        <v>152</v>
      </c>
      <c r="Y29" s="12" t="s">
        <v>196</v>
      </c>
      <c r="Z29" s="10" t="s">
        <v>195</v>
      </c>
    </row>
    <row r="30" spans="1:27" s="12" customFormat="1" x14ac:dyDescent="0.2">
      <c r="A30" s="12">
        <v>216251541</v>
      </c>
      <c r="B30" s="12">
        <v>22678620</v>
      </c>
      <c r="C30" s="12" t="s">
        <v>136</v>
      </c>
      <c r="D30" s="13" t="s">
        <v>92</v>
      </c>
      <c r="E30" s="13" t="s">
        <v>93</v>
      </c>
      <c r="F30" s="13" t="s">
        <v>21</v>
      </c>
      <c r="G30" s="13" t="s">
        <v>14</v>
      </c>
      <c r="H30" s="13" t="s">
        <v>69</v>
      </c>
      <c r="I30" s="13" t="s">
        <v>94</v>
      </c>
      <c r="J30" s="13" t="s">
        <v>14</v>
      </c>
      <c r="K30" s="12">
        <v>2021</v>
      </c>
      <c r="L30" s="13" t="s">
        <v>22</v>
      </c>
      <c r="M30" s="14" t="s">
        <v>161</v>
      </c>
      <c r="N30" s="14" t="s">
        <v>19</v>
      </c>
      <c r="O30" s="12">
        <v>1</v>
      </c>
      <c r="P30" s="14" t="s">
        <v>91</v>
      </c>
      <c r="Q30" s="15">
        <v>7.5149999999999997</v>
      </c>
      <c r="R30" s="15">
        <v>134.58250000000001</v>
      </c>
      <c r="S30" s="14" t="s">
        <v>91</v>
      </c>
      <c r="T30" s="12" t="s">
        <v>170</v>
      </c>
      <c r="U30" s="11" t="s">
        <v>118</v>
      </c>
      <c r="V30" s="11" t="s">
        <v>118</v>
      </c>
      <c r="W30" s="11"/>
      <c r="X30" s="11"/>
      <c r="Y30" s="10" t="s">
        <v>224</v>
      </c>
      <c r="Z30" s="12" t="s">
        <v>223</v>
      </c>
    </row>
    <row r="31" spans="1:27" s="12" customFormat="1" x14ac:dyDescent="0.2">
      <c r="A31" s="12">
        <v>216251541</v>
      </c>
      <c r="B31" s="12">
        <v>22678620</v>
      </c>
      <c r="C31" s="12" t="s">
        <v>137</v>
      </c>
      <c r="D31" s="13" t="s">
        <v>92</v>
      </c>
      <c r="E31" s="13" t="s">
        <v>93</v>
      </c>
      <c r="F31" s="13" t="s">
        <v>21</v>
      </c>
      <c r="G31" s="13" t="s">
        <v>14</v>
      </c>
      <c r="H31" s="13" t="s">
        <v>69</v>
      </c>
      <c r="I31" s="13" t="s">
        <v>94</v>
      </c>
      <c r="J31" s="13" t="s">
        <v>14</v>
      </c>
      <c r="K31" s="12">
        <v>2021</v>
      </c>
      <c r="L31" s="13" t="s">
        <v>22</v>
      </c>
      <c r="M31" s="14" t="s">
        <v>161</v>
      </c>
      <c r="N31" s="14" t="s">
        <v>19</v>
      </c>
      <c r="O31" s="12">
        <v>1</v>
      </c>
      <c r="P31" s="14" t="s">
        <v>91</v>
      </c>
      <c r="Q31" s="15">
        <v>7.5149999999999997</v>
      </c>
      <c r="R31" s="15">
        <v>134.58250000000001</v>
      </c>
      <c r="S31" s="14" t="s">
        <v>91</v>
      </c>
      <c r="T31" s="12" t="s">
        <v>175</v>
      </c>
      <c r="U31" s="11" t="s">
        <v>118</v>
      </c>
      <c r="V31" s="11" t="s">
        <v>118</v>
      </c>
      <c r="W31" s="11"/>
      <c r="X31" s="11"/>
      <c r="Y31" s="10" t="s">
        <v>224</v>
      </c>
      <c r="Z31" s="12" t="s">
        <v>214</v>
      </c>
    </row>
    <row r="32" spans="1:27" s="12" customFormat="1" x14ac:dyDescent="0.2">
      <c r="A32" s="12">
        <v>216251541</v>
      </c>
      <c r="B32" s="12">
        <v>22678620</v>
      </c>
      <c r="C32" s="12" t="s">
        <v>138</v>
      </c>
      <c r="D32" s="13" t="s">
        <v>92</v>
      </c>
      <c r="E32" s="13" t="s">
        <v>93</v>
      </c>
      <c r="F32" s="13" t="s">
        <v>21</v>
      </c>
      <c r="G32" s="13" t="s">
        <v>14</v>
      </c>
      <c r="H32" s="13" t="s">
        <v>69</v>
      </c>
      <c r="I32" s="13" t="s">
        <v>94</v>
      </c>
      <c r="J32" s="13" t="s">
        <v>14</v>
      </c>
      <c r="K32" s="12">
        <v>2021</v>
      </c>
      <c r="L32" s="13" t="s">
        <v>22</v>
      </c>
      <c r="M32" s="14" t="s">
        <v>161</v>
      </c>
      <c r="N32" s="14" t="s">
        <v>19</v>
      </c>
      <c r="O32" s="12">
        <v>1</v>
      </c>
      <c r="P32" s="14" t="s">
        <v>91</v>
      </c>
      <c r="Q32" s="15">
        <v>7.5149999999999997</v>
      </c>
      <c r="R32" s="15">
        <v>134.58250000000001</v>
      </c>
      <c r="S32" s="14" t="s">
        <v>91</v>
      </c>
      <c r="T32" s="12" t="s">
        <v>170</v>
      </c>
      <c r="U32" s="11" t="s">
        <v>118</v>
      </c>
      <c r="V32" s="11" t="s">
        <v>118</v>
      </c>
      <c r="W32" s="11"/>
      <c r="X32" s="11"/>
      <c r="Y32" s="10" t="s">
        <v>224</v>
      </c>
      <c r="Z32" s="12" t="s">
        <v>214</v>
      </c>
    </row>
    <row r="33" spans="1:26" s="12" customFormat="1" x14ac:dyDescent="0.2">
      <c r="A33" s="12">
        <v>216251541</v>
      </c>
      <c r="B33" s="12">
        <v>22678620</v>
      </c>
      <c r="C33" s="12" t="s">
        <v>139</v>
      </c>
      <c r="D33" s="13" t="s">
        <v>92</v>
      </c>
      <c r="E33" s="13" t="s">
        <v>93</v>
      </c>
      <c r="F33" s="13" t="s">
        <v>21</v>
      </c>
      <c r="G33" s="13" t="s">
        <v>14</v>
      </c>
      <c r="H33" s="13" t="s">
        <v>69</v>
      </c>
      <c r="I33" s="13" t="s">
        <v>94</v>
      </c>
      <c r="J33" s="13" t="s">
        <v>14</v>
      </c>
      <c r="K33" s="12">
        <v>2021</v>
      </c>
      <c r="L33" s="13" t="s">
        <v>22</v>
      </c>
      <c r="M33" s="14" t="s">
        <v>161</v>
      </c>
      <c r="N33" s="14" t="s">
        <v>19</v>
      </c>
      <c r="O33" s="12">
        <v>1</v>
      </c>
      <c r="P33" s="14" t="s">
        <v>91</v>
      </c>
      <c r="Q33" s="15">
        <v>7.5149999999999997</v>
      </c>
      <c r="R33" s="15">
        <v>134.58250000000001</v>
      </c>
      <c r="S33" s="14" t="s">
        <v>91</v>
      </c>
      <c r="T33" s="12" t="s">
        <v>175</v>
      </c>
      <c r="U33" s="11" t="s">
        <v>118</v>
      </c>
      <c r="V33" s="11" t="s">
        <v>118</v>
      </c>
      <c r="W33" s="11"/>
      <c r="X33" s="11"/>
      <c r="Y33" s="10" t="s">
        <v>224</v>
      </c>
      <c r="Z33" s="12" t="s">
        <v>214</v>
      </c>
    </row>
    <row r="34" spans="1:26" x14ac:dyDescent="0.2">
      <c r="A34" s="8">
        <v>216251541</v>
      </c>
      <c r="B34" s="8">
        <v>22678620</v>
      </c>
      <c r="C34" s="12" t="s">
        <v>215</v>
      </c>
      <c r="D34" s="6" t="s">
        <v>92</v>
      </c>
      <c r="E34" s="6" t="s">
        <v>93</v>
      </c>
      <c r="F34" s="6" t="s">
        <v>21</v>
      </c>
      <c r="G34" s="6" t="s">
        <v>14</v>
      </c>
      <c r="H34" s="6" t="s">
        <v>69</v>
      </c>
      <c r="I34" s="6" t="s">
        <v>94</v>
      </c>
      <c r="J34" s="6" t="s">
        <v>14</v>
      </c>
      <c r="K34" s="8">
        <v>2021</v>
      </c>
      <c r="L34" s="6" t="s">
        <v>22</v>
      </c>
      <c r="M34" s="2" t="s">
        <v>161</v>
      </c>
      <c r="N34" s="2" t="s">
        <v>17</v>
      </c>
      <c r="O34" s="8">
        <v>1</v>
      </c>
      <c r="P34" s="2" t="s">
        <v>91</v>
      </c>
      <c r="Q34" s="7">
        <v>7.5149999999999997</v>
      </c>
      <c r="R34" s="7">
        <v>134.58250000000001</v>
      </c>
      <c r="S34" s="2" t="s">
        <v>91</v>
      </c>
      <c r="T34" s="8" t="s">
        <v>170</v>
      </c>
      <c r="U34" s="5">
        <v>1905</v>
      </c>
      <c r="V34" s="5">
        <v>1930</v>
      </c>
      <c r="W34" s="11">
        <f t="shared" ref="W34:W37" si="10">K34-V34</f>
        <v>91</v>
      </c>
      <c r="X34" s="11">
        <f t="shared" ref="X34:X38" si="11">K34-U34</f>
        <v>116</v>
      </c>
      <c r="Y34" s="9" t="s">
        <v>212</v>
      </c>
      <c r="Z34" s="12" t="s">
        <v>214</v>
      </c>
    </row>
    <row r="35" spans="1:26" x14ac:dyDescent="0.2">
      <c r="A35" s="8">
        <v>216251541</v>
      </c>
      <c r="B35" s="8">
        <v>22678620</v>
      </c>
      <c r="C35" s="12" t="s">
        <v>140</v>
      </c>
      <c r="D35" s="6" t="s">
        <v>92</v>
      </c>
      <c r="E35" s="6" t="s">
        <v>93</v>
      </c>
      <c r="F35" s="6" t="s">
        <v>21</v>
      </c>
      <c r="G35" s="6" t="s">
        <v>14</v>
      </c>
      <c r="H35" s="6" t="s">
        <v>69</v>
      </c>
      <c r="I35" s="6" t="s">
        <v>94</v>
      </c>
      <c r="J35" s="6" t="s">
        <v>14</v>
      </c>
      <c r="K35" s="8">
        <v>2021</v>
      </c>
      <c r="L35" s="6" t="s">
        <v>22</v>
      </c>
      <c r="M35" s="2" t="s">
        <v>161</v>
      </c>
      <c r="N35" s="2" t="s">
        <v>17</v>
      </c>
      <c r="O35" s="8">
        <v>1</v>
      </c>
      <c r="P35" s="2" t="s">
        <v>91</v>
      </c>
      <c r="Q35" s="7">
        <v>7.5149999999999997</v>
      </c>
      <c r="R35" s="7">
        <v>134.58250000000001</v>
      </c>
      <c r="S35" s="2" t="s">
        <v>91</v>
      </c>
      <c r="T35" s="8" t="s">
        <v>175</v>
      </c>
      <c r="U35" s="5">
        <v>1905</v>
      </c>
      <c r="V35" s="5">
        <v>1930</v>
      </c>
      <c r="W35" s="11">
        <f t="shared" si="10"/>
        <v>91</v>
      </c>
      <c r="X35" s="11">
        <f t="shared" si="11"/>
        <v>116</v>
      </c>
      <c r="Y35" s="9" t="s">
        <v>212</v>
      </c>
      <c r="Z35" s="12" t="s">
        <v>214</v>
      </c>
    </row>
    <row r="36" spans="1:26" x14ac:dyDescent="0.2">
      <c r="A36" s="8">
        <v>216251541</v>
      </c>
      <c r="B36" s="8">
        <v>22678620</v>
      </c>
      <c r="C36" s="12" t="s">
        <v>216</v>
      </c>
      <c r="D36" s="6" t="s">
        <v>92</v>
      </c>
      <c r="E36" s="6" t="s">
        <v>93</v>
      </c>
      <c r="F36" s="6" t="s">
        <v>21</v>
      </c>
      <c r="G36" s="6" t="s">
        <v>14</v>
      </c>
      <c r="H36" s="6" t="s">
        <v>69</v>
      </c>
      <c r="I36" s="6" t="s">
        <v>94</v>
      </c>
      <c r="J36" s="6" t="s">
        <v>14</v>
      </c>
      <c r="K36" s="8">
        <v>2021</v>
      </c>
      <c r="L36" s="6" t="s">
        <v>22</v>
      </c>
      <c r="M36" s="2" t="s">
        <v>161</v>
      </c>
      <c r="N36" s="2" t="s">
        <v>17</v>
      </c>
      <c r="O36" s="8">
        <v>1</v>
      </c>
      <c r="P36" s="2" t="s">
        <v>91</v>
      </c>
      <c r="Q36" s="7">
        <v>7.5149999999999997</v>
      </c>
      <c r="R36" s="7">
        <v>134.58250000000001</v>
      </c>
      <c r="S36" s="2" t="s">
        <v>91</v>
      </c>
      <c r="T36" s="8" t="s">
        <v>170</v>
      </c>
      <c r="U36" s="5">
        <v>1905</v>
      </c>
      <c r="V36" s="5">
        <v>1930</v>
      </c>
      <c r="W36" s="11">
        <f t="shared" si="10"/>
        <v>91</v>
      </c>
      <c r="X36" s="11">
        <f t="shared" si="11"/>
        <v>116</v>
      </c>
      <c r="Y36" s="9" t="s">
        <v>212</v>
      </c>
      <c r="Z36" s="12" t="s">
        <v>214</v>
      </c>
    </row>
    <row r="37" spans="1:26" x14ac:dyDescent="0.2">
      <c r="A37" s="8">
        <v>216251541</v>
      </c>
      <c r="B37" s="8">
        <v>22678620</v>
      </c>
      <c r="C37" s="12" t="s">
        <v>141</v>
      </c>
      <c r="D37" s="6" t="s">
        <v>92</v>
      </c>
      <c r="E37" s="6" t="s">
        <v>93</v>
      </c>
      <c r="F37" s="6" t="s">
        <v>21</v>
      </c>
      <c r="G37" s="6" t="s">
        <v>14</v>
      </c>
      <c r="H37" s="6" t="s">
        <v>69</v>
      </c>
      <c r="I37" s="6" t="s">
        <v>94</v>
      </c>
      <c r="J37" s="6" t="s">
        <v>14</v>
      </c>
      <c r="K37" s="8">
        <v>2021</v>
      </c>
      <c r="L37" s="6" t="s">
        <v>22</v>
      </c>
      <c r="M37" s="2" t="s">
        <v>161</v>
      </c>
      <c r="N37" s="2" t="s">
        <v>17</v>
      </c>
      <c r="O37" s="8">
        <v>1</v>
      </c>
      <c r="P37" s="2" t="s">
        <v>91</v>
      </c>
      <c r="Q37" s="7">
        <v>7.5149999999999997</v>
      </c>
      <c r="R37" s="7">
        <v>134.58250000000001</v>
      </c>
      <c r="S37" s="2" t="s">
        <v>91</v>
      </c>
      <c r="T37" s="8" t="s">
        <v>175</v>
      </c>
      <c r="U37" s="5">
        <v>1905</v>
      </c>
      <c r="V37" s="5">
        <v>1930</v>
      </c>
      <c r="W37" s="11">
        <f t="shared" si="10"/>
        <v>91</v>
      </c>
      <c r="X37" s="11">
        <f t="shared" si="11"/>
        <v>116</v>
      </c>
      <c r="Y37" s="9" t="s">
        <v>212</v>
      </c>
      <c r="Z37" s="12" t="s">
        <v>214</v>
      </c>
    </row>
    <row r="38" spans="1:26" x14ac:dyDescent="0.2">
      <c r="A38" s="8">
        <v>216251541</v>
      </c>
      <c r="B38" s="8">
        <v>22678620</v>
      </c>
      <c r="C38" s="12" t="s">
        <v>142</v>
      </c>
      <c r="D38" s="6" t="s">
        <v>92</v>
      </c>
      <c r="E38" s="6" t="s">
        <v>93</v>
      </c>
      <c r="F38" s="6" t="s">
        <v>21</v>
      </c>
      <c r="G38" s="6" t="s">
        <v>14</v>
      </c>
      <c r="H38" s="6" t="s">
        <v>69</v>
      </c>
      <c r="I38" s="6" t="s">
        <v>94</v>
      </c>
      <c r="J38" s="6" t="s">
        <v>14</v>
      </c>
      <c r="K38" s="8">
        <v>2021</v>
      </c>
      <c r="L38" s="6" t="s">
        <v>22</v>
      </c>
      <c r="M38" s="2" t="s">
        <v>161</v>
      </c>
      <c r="N38" s="2" t="s">
        <v>16</v>
      </c>
      <c r="O38" s="8">
        <v>1</v>
      </c>
      <c r="P38" s="2" t="s">
        <v>91</v>
      </c>
      <c r="Q38" s="7">
        <v>7.5149999999999997</v>
      </c>
      <c r="R38" s="7">
        <v>134.58250000000001</v>
      </c>
      <c r="S38" s="2" t="s">
        <v>91</v>
      </c>
      <c r="T38" s="8" t="s">
        <v>170</v>
      </c>
      <c r="U38" s="5">
        <v>-1100</v>
      </c>
      <c r="V38" s="5">
        <v>-1000</v>
      </c>
      <c r="W38" s="11">
        <f>K38-V38</f>
        <v>3021</v>
      </c>
      <c r="X38" s="11">
        <f t="shared" si="11"/>
        <v>3121</v>
      </c>
      <c r="Y38" s="9" t="s">
        <v>213</v>
      </c>
      <c r="Z38" s="12" t="s">
        <v>214</v>
      </c>
    </row>
    <row r="39" spans="1:26" x14ac:dyDescent="0.2">
      <c r="A39" s="8">
        <v>216251541</v>
      </c>
      <c r="B39" s="8">
        <v>22678620</v>
      </c>
      <c r="C39" s="12" t="s">
        <v>143</v>
      </c>
      <c r="D39" s="6" t="s">
        <v>92</v>
      </c>
      <c r="E39" s="6" t="s">
        <v>93</v>
      </c>
      <c r="F39" s="6" t="s">
        <v>21</v>
      </c>
      <c r="G39" s="6" t="s">
        <v>14</v>
      </c>
      <c r="H39" s="6" t="s">
        <v>69</v>
      </c>
      <c r="I39" s="6" t="s">
        <v>94</v>
      </c>
      <c r="J39" s="6" t="s">
        <v>14</v>
      </c>
      <c r="K39" s="8">
        <v>2021</v>
      </c>
      <c r="L39" s="6" t="s">
        <v>22</v>
      </c>
      <c r="M39" s="2" t="s">
        <v>161</v>
      </c>
      <c r="N39" s="2" t="s">
        <v>16</v>
      </c>
      <c r="O39" s="8">
        <v>1</v>
      </c>
      <c r="P39" s="2" t="s">
        <v>91</v>
      </c>
      <c r="Q39" s="7">
        <v>7.5149999999999997</v>
      </c>
      <c r="R39" s="7">
        <v>134.58250000000001</v>
      </c>
      <c r="S39" s="2" t="s">
        <v>91</v>
      </c>
      <c r="T39" s="8" t="s">
        <v>175</v>
      </c>
      <c r="U39" s="5">
        <v>-1100</v>
      </c>
      <c r="V39" s="5">
        <v>-1000</v>
      </c>
      <c r="W39" s="11">
        <f>K39-V39</f>
        <v>3021</v>
      </c>
      <c r="X39" s="11">
        <f t="shared" ref="X39" si="12">K39-U39</f>
        <v>3121</v>
      </c>
      <c r="Y39" s="9" t="s">
        <v>213</v>
      </c>
      <c r="Z39" s="12" t="s">
        <v>214</v>
      </c>
    </row>
    <row r="40" spans="1:26" x14ac:dyDescent="0.2">
      <c r="A40" s="8">
        <v>216251541</v>
      </c>
      <c r="B40" s="8">
        <v>22678620</v>
      </c>
      <c r="C40" s="12" t="s">
        <v>144</v>
      </c>
      <c r="D40" s="6" t="s">
        <v>92</v>
      </c>
      <c r="E40" s="6" t="s">
        <v>93</v>
      </c>
      <c r="F40" s="6" t="s">
        <v>21</v>
      </c>
      <c r="G40" s="6" t="s">
        <v>14</v>
      </c>
      <c r="H40" s="6" t="s">
        <v>69</v>
      </c>
      <c r="I40" s="6" t="s">
        <v>94</v>
      </c>
      <c r="J40" s="6" t="s">
        <v>14</v>
      </c>
      <c r="K40" s="8">
        <v>2021</v>
      </c>
      <c r="L40" s="6" t="s">
        <v>22</v>
      </c>
      <c r="M40" s="2" t="s">
        <v>161</v>
      </c>
      <c r="N40" s="2" t="s">
        <v>16</v>
      </c>
      <c r="O40" s="8">
        <v>1</v>
      </c>
      <c r="P40" s="2" t="s">
        <v>91</v>
      </c>
      <c r="Q40" s="7">
        <v>7.5149999999999997</v>
      </c>
      <c r="R40" s="7">
        <v>134.58250000000001</v>
      </c>
      <c r="S40" s="2" t="s">
        <v>91</v>
      </c>
      <c r="T40" s="8" t="s">
        <v>170</v>
      </c>
      <c r="U40" s="5">
        <v>-1100</v>
      </c>
      <c r="V40" s="5">
        <v>-1000</v>
      </c>
      <c r="W40" s="11">
        <f>K40-V40</f>
        <v>3021</v>
      </c>
      <c r="X40" s="11">
        <f t="shared" ref="X40:X42" si="13">K40-U40</f>
        <v>3121</v>
      </c>
      <c r="Y40" s="9" t="s">
        <v>213</v>
      </c>
      <c r="Z40" s="12" t="s">
        <v>214</v>
      </c>
    </row>
    <row r="41" spans="1:26" x14ac:dyDescent="0.2">
      <c r="A41" s="8">
        <v>216251541</v>
      </c>
      <c r="B41" s="8">
        <v>22678620</v>
      </c>
      <c r="C41" s="12" t="s">
        <v>145</v>
      </c>
      <c r="D41" s="6" t="s">
        <v>92</v>
      </c>
      <c r="E41" s="6" t="s">
        <v>93</v>
      </c>
      <c r="F41" s="6" t="s">
        <v>21</v>
      </c>
      <c r="G41" s="6" t="s">
        <v>14</v>
      </c>
      <c r="H41" s="6" t="s">
        <v>69</v>
      </c>
      <c r="I41" s="6" t="s">
        <v>94</v>
      </c>
      <c r="J41" s="6" t="s">
        <v>14</v>
      </c>
      <c r="K41" s="8">
        <v>2021</v>
      </c>
      <c r="L41" s="6" t="s">
        <v>22</v>
      </c>
      <c r="M41" s="2" t="s">
        <v>161</v>
      </c>
      <c r="N41" s="2" t="s">
        <v>16</v>
      </c>
      <c r="O41" s="8">
        <v>1</v>
      </c>
      <c r="P41" s="2" t="s">
        <v>91</v>
      </c>
      <c r="Q41" s="7">
        <v>7.5149999999999997</v>
      </c>
      <c r="R41" s="7">
        <v>134.58250000000001</v>
      </c>
      <c r="S41" s="2" t="s">
        <v>91</v>
      </c>
      <c r="T41" s="8" t="s">
        <v>175</v>
      </c>
      <c r="U41" s="5">
        <v>-1100</v>
      </c>
      <c r="V41" s="5">
        <v>-1000</v>
      </c>
      <c r="W41" s="11">
        <f>K41-V41</f>
        <v>3021</v>
      </c>
      <c r="X41" s="11">
        <f t="shared" si="13"/>
        <v>3121</v>
      </c>
      <c r="Y41" s="9" t="s">
        <v>213</v>
      </c>
      <c r="Z41" s="12" t="s">
        <v>214</v>
      </c>
    </row>
    <row r="42" spans="1:26" x14ac:dyDescent="0.2">
      <c r="A42" s="8">
        <v>132619647</v>
      </c>
      <c r="B42" s="8">
        <v>22698020</v>
      </c>
      <c r="C42" s="12" t="s">
        <v>146</v>
      </c>
      <c r="D42" s="8" t="s">
        <v>119</v>
      </c>
      <c r="E42" s="8" t="s">
        <v>120</v>
      </c>
      <c r="F42" s="6" t="s">
        <v>23</v>
      </c>
      <c r="G42" s="6" t="s">
        <v>14</v>
      </c>
      <c r="H42" s="8" t="s">
        <v>30</v>
      </c>
      <c r="I42" s="6" t="s">
        <v>121</v>
      </c>
      <c r="J42" s="8" t="s">
        <v>123</v>
      </c>
      <c r="K42" s="8">
        <v>1987</v>
      </c>
      <c r="L42" s="8" t="s">
        <v>31</v>
      </c>
      <c r="M42" s="3" t="s">
        <v>19</v>
      </c>
      <c r="N42" s="3" t="s">
        <v>19</v>
      </c>
      <c r="P42" s="3" t="s">
        <v>122</v>
      </c>
      <c r="Q42" s="8">
        <v>-1.3083</v>
      </c>
      <c r="R42" s="8">
        <v>-90.431399999999996</v>
      </c>
      <c r="S42" s="3" t="s">
        <v>228</v>
      </c>
      <c r="T42" s="8" t="s">
        <v>170</v>
      </c>
      <c r="U42" s="5">
        <v>1684</v>
      </c>
      <c r="V42" s="5">
        <v>1710</v>
      </c>
      <c r="W42" s="5">
        <f>K42-V42</f>
        <v>277</v>
      </c>
      <c r="X42" s="5">
        <f t="shared" si="13"/>
        <v>303</v>
      </c>
      <c r="Y42" s="9" t="s">
        <v>227</v>
      </c>
      <c r="Z42" s="12" t="s">
        <v>214</v>
      </c>
    </row>
    <row r="43" spans="1:26" x14ac:dyDescent="0.2">
      <c r="A43" s="8">
        <v>126893184</v>
      </c>
      <c r="B43" s="8">
        <v>62290750</v>
      </c>
      <c r="C43" s="12" t="s">
        <v>151</v>
      </c>
      <c r="D43" s="8" t="s">
        <v>125</v>
      </c>
      <c r="E43" s="8" t="s">
        <v>126</v>
      </c>
      <c r="F43" s="8" t="s">
        <v>23</v>
      </c>
      <c r="G43" s="8" t="s">
        <v>14</v>
      </c>
      <c r="H43" s="8" t="s">
        <v>15</v>
      </c>
      <c r="I43" s="8" t="s">
        <v>163</v>
      </c>
      <c r="J43" s="8" t="s">
        <v>14</v>
      </c>
      <c r="K43" s="8">
        <v>2003</v>
      </c>
      <c r="L43" s="8" t="s">
        <v>31</v>
      </c>
      <c r="M43" s="3" t="s">
        <v>17</v>
      </c>
      <c r="N43" s="3" t="s">
        <v>17</v>
      </c>
      <c r="P43" s="3" t="s">
        <v>128</v>
      </c>
      <c r="Q43" s="8">
        <v>-37.583199999999998</v>
      </c>
      <c r="R43" s="8">
        <v>176.0428</v>
      </c>
      <c r="S43" s="4" t="s">
        <v>197</v>
      </c>
      <c r="T43" s="8" t="s">
        <v>170</v>
      </c>
      <c r="U43" s="11">
        <v>1860</v>
      </c>
      <c r="V43" s="11">
        <v>1860</v>
      </c>
      <c r="W43" s="11">
        <f t="shared" ref="W43:W44" si="14">K43-V43</f>
        <v>143</v>
      </c>
      <c r="X43" s="11">
        <f t="shared" ref="X43:X44" si="15">K43-U43</f>
        <v>143</v>
      </c>
      <c r="Y43" s="12" t="s">
        <v>196</v>
      </c>
      <c r="Z43" s="10" t="s">
        <v>195</v>
      </c>
    </row>
    <row r="44" spans="1:26" x14ac:dyDescent="0.2">
      <c r="A44" s="8">
        <v>126893184</v>
      </c>
      <c r="B44" s="8">
        <v>62290750</v>
      </c>
      <c r="C44" s="12" t="s">
        <v>153</v>
      </c>
      <c r="D44" s="8" t="s">
        <v>125</v>
      </c>
      <c r="E44" s="8" t="s">
        <v>126</v>
      </c>
      <c r="F44" s="8" t="s">
        <v>23</v>
      </c>
      <c r="G44" s="8" t="s">
        <v>14</v>
      </c>
      <c r="H44" s="8" t="s">
        <v>15</v>
      </c>
      <c r="I44" s="8" t="s">
        <v>163</v>
      </c>
      <c r="J44" s="8" t="s">
        <v>14</v>
      </c>
      <c r="K44" s="8">
        <v>2003</v>
      </c>
      <c r="L44" s="8" t="s">
        <v>31</v>
      </c>
      <c r="M44" s="3" t="s">
        <v>17</v>
      </c>
      <c r="N44" s="3" t="s">
        <v>17</v>
      </c>
      <c r="P44" s="3" t="s">
        <v>128</v>
      </c>
      <c r="Q44" s="8">
        <v>-37.583199999999998</v>
      </c>
      <c r="R44" s="8">
        <v>176.0428</v>
      </c>
      <c r="S44" s="4" t="s">
        <v>197</v>
      </c>
      <c r="T44" s="8" t="s">
        <v>170</v>
      </c>
      <c r="U44" s="11">
        <v>1860</v>
      </c>
      <c r="V44" s="11">
        <v>1860</v>
      </c>
      <c r="W44" s="11">
        <f t="shared" si="14"/>
        <v>143</v>
      </c>
      <c r="X44" s="11">
        <f t="shared" si="15"/>
        <v>143</v>
      </c>
      <c r="Y44" s="12" t="s">
        <v>196</v>
      </c>
      <c r="Z44" s="10" t="s">
        <v>195</v>
      </c>
    </row>
    <row r="45" spans="1:26" x14ac:dyDescent="0.2">
      <c r="A45" s="8">
        <v>156237250</v>
      </c>
      <c r="B45" s="8">
        <v>103730380</v>
      </c>
      <c r="C45" s="12" t="s">
        <v>156</v>
      </c>
      <c r="D45" s="8" t="s">
        <v>129</v>
      </c>
      <c r="E45" s="8" t="s">
        <v>130</v>
      </c>
      <c r="F45" s="8" t="s">
        <v>23</v>
      </c>
      <c r="G45" s="8" t="s">
        <v>176</v>
      </c>
      <c r="H45" s="8" t="s">
        <v>19</v>
      </c>
      <c r="I45" s="8" t="s">
        <v>131</v>
      </c>
      <c r="J45" s="8" t="s">
        <v>14</v>
      </c>
      <c r="K45" s="8">
        <v>1999</v>
      </c>
      <c r="L45" s="8" t="s">
        <v>28</v>
      </c>
      <c r="M45" s="3" t="s">
        <v>19</v>
      </c>
      <c r="N45" s="3" t="s">
        <v>19</v>
      </c>
      <c r="P45" s="3" t="s">
        <v>133</v>
      </c>
      <c r="Q45" s="8">
        <v>-38.534999999999997</v>
      </c>
      <c r="R45" s="8">
        <v>175.238</v>
      </c>
      <c r="S45" s="4" t="s">
        <v>197</v>
      </c>
      <c r="T45" s="8" t="s">
        <v>170</v>
      </c>
      <c r="U45" s="11">
        <v>1860</v>
      </c>
      <c r="V45" s="11">
        <v>1860</v>
      </c>
      <c r="W45" s="11">
        <f t="shared" ref="W45:W47" si="16">K45-V45</f>
        <v>139</v>
      </c>
      <c r="X45" s="11">
        <f t="shared" ref="X45:X47" si="17">K45-U45</f>
        <v>139</v>
      </c>
      <c r="Y45" s="12" t="s">
        <v>196</v>
      </c>
      <c r="Z45" s="10" t="s">
        <v>195</v>
      </c>
    </row>
    <row r="46" spans="1:26" x14ac:dyDescent="0.2">
      <c r="A46" s="8">
        <v>156237250</v>
      </c>
      <c r="B46" s="8">
        <v>103730380</v>
      </c>
      <c r="C46" s="12" t="s">
        <v>160</v>
      </c>
      <c r="D46" s="8" t="s">
        <v>129</v>
      </c>
      <c r="E46" s="8" t="s">
        <v>130</v>
      </c>
      <c r="F46" s="8" t="s">
        <v>23</v>
      </c>
      <c r="G46" s="8" t="s">
        <v>176</v>
      </c>
      <c r="H46" s="8" t="s">
        <v>19</v>
      </c>
      <c r="I46" s="8" t="s">
        <v>131</v>
      </c>
      <c r="J46" s="8" t="s">
        <v>14</v>
      </c>
      <c r="K46" s="8">
        <v>1999</v>
      </c>
      <c r="L46" s="8" t="s">
        <v>28</v>
      </c>
      <c r="M46" s="3" t="s">
        <v>19</v>
      </c>
      <c r="N46" s="3" t="s">
        <v>19</v>
      </c>
      <c r="P46" s="3" t="s">
        <v>133</v>
      </c>
      <c r="Q46" s="8">
        <v>-38.534999999999997</v>
      </c>
      <c r="R46" s="8">
        <v>175.238</v>
      </c>
      <c r="S46" s="4" t="s">
        <v>197</v>
      </c>
      <c r="T46" s="8" t="s">
        <v>170</v>
      </c>
      <c r="U46" s="11">
        <v>1860</v>
      </c>
      <c r="V46" s="11">
        <v>1860</v>
      </c>
      <c r="W46" s="11">
        <f t="shared" si="16"/>
        <v>139</v>
      </c>
      <c r="X46" s="11">
        <f t="shared" si="17"/>
        <v>139</v>
      </c>
      <c r="Y46" s="12" t="s">
        <v>196</v>
      </c>
      <c r="Z46" s="10" t="s">
        <v>195</v>
      </c>
    </row>
    <row r="47" spans="1:26" x14ac:dyDescent="0.2">
      <c r="A47" s="8">
        <v>156237250</v>
      </c>
      <c r="B47" s="8">
        <v>103730380</v>
      </c>
      <c r="C47" s="12" t="s">
        <v>165</v>
      </c>
      <c r="D47" s="8" t="s">
        <v>129</v>
      </c>
      <c r="E47" s="8" t="s">
        <v>130</v>
      </c>
      <c r="F47" s="8" t="s">
        <v>23</v>
      </c>
      <c r="G47" s="8" t="s">
        <v>176</v>
      </c>
      <c r="H47" s="8" t="s">
        <v>19</v>
      </c>
      <c r="I47" s="8" t="s">
        <v>131</v>
      </c>
      <c r="J47" s="8" t="s">
        <v>14</v>
      </c>
      <c r="K47" s="8">
        <v>1999</v>
      </c>
      <c r="L47" s="8" t="s">
        <v>28</v>
      </c>
      <c r="M47" s="3" t="s">
        <v>19</v>
      </c>
      <c r="N47" s="3" t="s">
        <v>19</v>
      </c>
      <c r="P47" s="3" t="s">
        <v>133</v>
      </c>
      <c r="Q47" s="8">
        <v>-38.534999999999997</v>
      </c>
      <c r="R47" s="8">
        <v>175.238</v>
      </c>
      <c r="S47" s="4" t="s">
        <v>197</v>
      </c>
      <c r="T47" s="8" t="s">
        <v>170</v>
      </c>
      <c r="U47" s="11">
        <v>1860</v>
      </c>
      <c r="V47" s="11">
        <v>1860</v>
      </c>
      <c r="W47" s="11">
        <f t="shared" si="16"/>
        <v>139</v>
      </c>
      <c r="X47" s="11">
        <f t="shared" si="17"/>
        <v>139</v>
      </c>
      <c r="Y47" s="12" t="s">
        <v>196</v>
      </c>
      <c r="Z47" s="10" t="s">
        <v>195</v>
      </c>
    </row>
    <row r="48" spans="1:26" x14ac:dyDescent="0.2">
      <c r="A48" s="8">
        <v>132622973</v>
      </c>
      <c r="B48" s="8">
        <v>22698062</v>
      </c>
      <c r="C48" s="12" t="s">
        <v>217</v>
      </c>
      <c r="D48" s="8" t="s">
        <v>147</v>
      </c>
      <c r="E48" s="8" t="s">
        <v>148</v>
      </c>
      <c r="F48" s="8" t="s">
        <v>20</v>
      </c>
      <c r="G48" s="8" t="s">
        <v>14</v>
      </c>
      <c r="H48" s="8" t="s">
        <v>19</v>
      </c>
      <c r="I48" s="8" t="s">
        <v>149</v>
      </c>
      <c r="J48" s="8" t="s">
        <v>14</v>
      </c>
      <c r="K48" s="8">
        <v>2001</v>
      </c>
      <c r="L48" s="8" t="s">
        <v>31</v>
      </c>
      <c r="M48" s="3" t="s">
        <v>19</v>
      </c>
      <c r="N48" s="3" t="s">
        <v>19</v>
      </c>
      <c r="P48" s="3" t="s">
        <v>150</v>
      </c>
      <c r="Q48" s="8">
        <v>32.7607</v>
      </c>
      <c r="R48" s="8">
        <v>-16.959499999999998</v>
      </c>
      <c r="S48" s="3" t="s">
        <v>150</v>
      </c>
      <c r="T48" s="8" t="s">
        <v>170</v>
      </c>
      <c r="U48" s="5" t="s">
        <v>118</v>
      </c>
      <c r="V48" s="5" t="s">
        <v>118</v>
      </c>
      <c r="Y48" s="16" t="s">
        <v>229</v>
      </c>
      <c r="Z48" s="16" t="s">
        <v>214</v>
      </c>
    </row>
    <row r="49" spans="1:26" x14ac:dyDescent="0.2">
      <c r="A49" s="8">
        <v>132658315</v>
      </c>
      <c r="B49" s="8">
        <v>22728432</v>
      </c>
      <c r="C49" s="12" t="s">
        <v>218</v>
      </c>
      <c r="D49" s="8" t="s">
        <v>154</v>
      </c>
      <c r="E49" s="8" t="s">
        <v>155</v>
      </c>
      <c r="F49" s="8" t="s">
        <v>23</v>
      </c>
      <c r="G49" s="8" t="s">
        <v>14</v>
      </c>
      <c r="H49" s="8" t="s">
        <v>30</v>
      </c>
      <c r="I49" s="8" t="s">
        <v>152</v>
      </c>
      <c r="J49" s="8" t="s">
        <v>14</v>
      </c>
      <c r="K49" s="8">
        <v>2009</v>
      </c>
      <c r="L49" s="8" t="s">
        <v>22</v>
      </c>
      <c r="M49" s="3" t="s">
        <v>19</v>
      </c>
      <c r="N49" s="3" t="s">
        <v>19</v>
      </c>
      <c r="P49" s="3" t="s">
        <v>225</v>
      </c>
      <c r="Q49" s="8">
        <v>42.034799999999997</v>
      </c>
      <c r="R49" s="8">
        <v>2.3700999999999999</v>
      </c>
      <c r="S49" s="3" t="s">
        <v>225</v>
      </c>
      <c r="T49" s="8" t="s">
        <v>171</v>
      </c>
      <c r="U49" s="5">
        <v>-3500</v>
      </c>
      <c r="V49" s="5">
        <v>1000</v>
      </c>
      <c r="W49" s="11">
        <f t="shared" ref="W49:W50" si="18">K49-V49</f>
        <v>1009</v>
      </c>
      <c r="X49" s="11">
        <f t="shared" ref="X49:X50" si="19">K49-U49</f>
        <v>5509</v>
      </c>
      <c r="Y49" s="9" t="s">
        <v>226</v>
      </c>
      <c r="Z49" s="8" t="s">
        <v>152</v>
      </c>
    </row>
    <row r="50" spans="1:26" x14ac:dyDescent="0.2">
      <c r="A50" s="8">
        <v>132637221</v>
      </c>
      <c r="B50" s="8">
        <v>22698230</v>
      </c>
      <c r="C50" s="12" t="s">
        <v>219</v>
      </c>
      <c r="D50" s="8" t="s">
        <v>61</v>
      </c>
      <c r="E50" s="8" t="s">
        <v>62</v>
      </c>
      <c r="F50" s="8" t="s">
        <v>18</v>
      </c>
      <c r="G50" s="8" t="s">
        <v>14</v>
      </c>
      <c r="H50" s="8" t="s">
        <v>19</v>
      </c>
      <c r="I50" s="8" t="s">
        <v>152</v>
      </c>
      <c r="J50" s="8" t="s">
        <v>14</v>
      </c>
      <c r="K50" s="8">
        <v>2009</v>
      </c>
      <c r="L50" s="8" t="s">
        <v>22</v>
      </c>
      <c r="M50" s="3" t="s">
        <v>19</v>
      </c>
      <c r="N50" s="3" t="s">
        <v>19</v>
      </c>
      <c r="P50" s="3" t="s">
        <v>225</v>
      </c>
      <c r="Q50" s="8">
        <v>37.125799999999998</v>
      </c>
      <c r="R50" s="8">
        <v>10.8028</v>
      </c>
      <c r="S50" s="3" t="s">
        <v>225</v>
      </c>
      <c r="T50" s="8" t="s">
        <v>171</v>
      </c>
      <c r="U50" s="5">
        <v>-3500</v>
      </c>
      <c r="V50" s="5">
        <v>1000</v>
      </c>
      <c r="W50" s="11">
        <f t="shared" si="18"/>
        <v>1009</v>
      </c>
      <c r="X50" s="11">
        <f t="shared" si="19"/>
        <v>5509</v>
      </c>
      <c r="Y50" s="9" t="s">
        <v>226</v>
      </c>
      <c r="Z50" s="8" t="s">
        <v>152</v>
      </c>
    </row>
    <row r="51" spans="1:26" x14ac:dyDescent="0.2">
      <c r="A51" s="8">
        <v>180893939</v>
      </c>
      <c r="B51" s="8">
        <v>22694903</v>
      </c>
      <c r="C51" s="12" t="s">
        <v>220</v>
      </c>
      <c r="D51" s="8" t="s">
        <v>158</v>
      </c>
      <c r="E51" s="8" t="s">
        <v>159</v>
      </c>
      <c r="F51" s="8" t="s">
        <v>21</v>
      </c>
      <c r="G51" s="8" t="s">
        <v>14</v>
      </c>
      <c r="H51" s="8" t="s">
        <v>30</v>
      </c>
      <c r="I51" s="8" t="s">
        <v>157</v>
      </c>
      <c r="J51" s="8" t="s">
        <v>14</v>
      </c>
      <c r="K51" s="8">
        <v>2015</v>
      </c>
      <c r="L51" s="8" t="s">
        <v>31</v>
      </c>
      <c r="M51" s="3" t="s">
        <v>19</v>
      </c>
      <c r="N51" s="3" t="s">
        <v>19</v>
      </c>
      <c r="P51" s="3" t="s">
        <v>68</v>
      </c>
      <c r="Q51" s="8">
        <v>34.004399999999997</v>
      </c>
      <c r="R51" s="8">
        <v>-119.39960000000001</v>
      </c>
      <c r="S51" s="3" t="s">
        <v>68</v>
      </c>
      <c r="T51" s="8" t="s">
        <v>169</v>
      </c>
      <c r="U51" s="11">
        <v>1901</v>
      </c>
      <c r="V51" s="11">
        <v>1925</v>
      </c>
      <c r="W51" s="11">
        <f>K51-V51</f>
        <v>90</v>
      </c>
      <c r="X51" s="11">
        <f>K51-U51</f>
        <v>114</v>
      </c>
      <c r="Y51" s="10" t="s">
        <v>210</v>
      </c>
      <c r="Z51" s="10" t="s">
        <v>67</v>
      </c>
    </row>
    <row r="52" spans="1:26" x14ac:dyDescent="0.2">
      <c r="A52" s="8">
        <v>209465053</v>
      </c>
      <c r="B52" s="8">
        <v>22705397</v>
      </c>
      <c r="C52" s="12" t="s">
        <v>221</v>
      </c>
      <c r="D52" s="8" t="s">
        <v>81</v>
      </c>
      <c r="E52" s="8" t="s">
        <v>82</v>
      </c>
      <c r="F52" s="8" t="s">
        <v>21</v>
      </c>
      <c r="G52" s="8" t="s">
        <v>14</v>
      </c>
      <c r="H52" s="8" t="s">
        <v>19</v>
      </c>
      <c r="I52" s="8" t="s">
        <v>164</v>
      </c>
      <c r="J52" s="8" t="s">
        <v>167</v>
      </c>
      <c r="K52" s="8">
        <v>2024</v>
      </c>
      <c r="L52" s="8" t="s">
        <v>31</v>
      </c>
      <c r="M52" s="3" t="s">
        <v>19</v>
      </c>
      <c r="N52" s="3" t="s">
        <v>19</v>
      </c>
      <c r="P52" s="3" t="s">
        <v>166</v>
      </c>
      <c r="Q52" s="8">
        <v>-44.231900000000003</v>
      </c>
      <c r="R52" s="8">
        <v>169.2313</v>
      </c>
      <c r="S52" s="4" t="s">
        <v>197</v>
      </c>
      <c r="T52" s="8" t="s">
        <v>170</v>
      </c>
      <c r="U52" s="11">
        <v>1860</v>
      </c>
      <c r="V52" s="11">
        <v>1860</v>
      </c>
      <c r="W52" s="11">
        <f t="shared" ref="W52" si="20">K52-V52</f>
        <v>164</v>
      </c>
      <c r="X52" s="11">
        <f t="shared" ref="X52" si="21">K52-U52</f>
        <v>164</v>
      </c>
      <c r="Y52" s="12" t="s">
        <v>196</v>
      </c>
      <c r="Z52" s="10" t="s">
        <v>195</v>
      </c>
    </row>
    <row r="53" spans="1:26" x14ac:dyDescent="0.2">
      <c r="A53" s="8">
        <v>132616449</v>
      </c>
      <c r="B53" s="8">
        <v>22697975</v>
      </c>
      <c r="C53" s="12" t="s">
        <v>222</v>
      </c>
      <c r="D53" s="8" t="s">
        <v>54</v>
      </c>
      <c r="E53" s="8" t="s">
        <v>55</v>
      </c>
      <c r="F53" s="8" t="s">
        <v>18</v>
      </c>
      <c r="G53" s="8" t="s">
        <v>56</v>
      </c>
      <c r="H53" s="8" t="s">
        <v>32</v>
      </c>
      <c r="I53" s="8" t="s">
        <v>124</v>
      </c>
      <c r="J53" s="8" t="s">
        <v>14</v>
      </c>
      <c r="K53" s="8">
        <v>2007</v>
      </c>
      <c r="L53" s="8" t="s">
        <v>28</v>
      </c>
      <c r="M53" s="3" t="s">
        <v>16</v>
      </c>
      <c r="N53" s="3" t="s">
        <v>16</v>
      </c>
      <c r="P53" s="3" t="s">
        <v>58</v>
      </c>
      <c r="Q53" s="8">
        <v>-36.194600000000001</v>
      </c>
      <c r="R53" s="8">
        <v>175.0753</v>
      </c>
      <c r="S53" s="4" t="s">
        <v>201</v>
      </c>
      <c r="T53" s="8" t="s">
        <v>172</v>
      </c>
      <c r="U53" s="11">
        <v>100</v>
      </c>
      <c r="V53" s="11">
        <v>1200</v>
      </c>
      <c r="W53" s="11">
        <f>K53-V53</f>
        <v>807</v>
      </c>
      <c r="X53" s="11">
        <f>K53-U53</f>
        <v>1907</v>
      </c>
      <c r="Y53" s="12" t="s">
        <v>200</v>
      </c>
      <c r="Z53" s="10" t="s">
        <v>199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02751-9314-6245-95EB-0DB0F736A855}">
  <dimension ref="A1:E30"/>
  <sheetViews>
    <sheetView workbookViewId="0">
      <selection activeCell="H32" sqref="A1:H32"/>
    </sheetView>
  </sheetViews>
  <sheetFormatPr baseColWidth="10" defaultRowHeight="16" x14ac:dyDescent="0.2"/>
  <sheetData>
    <row r="1" spans="1:5" x14ac:dyDescent="0.2">
      <c r="A1" s="1"/>
    </row>
    <row r="2" spans="1:5" x14ac:dyDescent="0.2">
      <c r="A2" s="1"/>
    </row>
    <row r="4" spans="1:5" x14ac:dyDescent="0.2">
      <c r="A4" s="1"/>
    </row>
    <row r="5" spans="1:5" x14ac:dyDescent="0.2">
      <c r="A5" s="1"/>
      <c r="E5" s="1"/>
    </row>
    <row r="6" spans="1:5" x14ac:dyDescent="0.2">
      <c r="A6" s="1"/>
    </row>
    <row r="8" spans="1:5" x14ac:dyDescent="0.2">
      <c r="A8" s="1"/>
    </row>
    <row r="9" spans="1:5" x14ac:dyDescent="0.2">
      <c r="A9" s="1"/>
    </row>
    <row r="10" spans="1:5" x14ac:dyDescent="0.2">
      <c r="A10" s="1"/>
    </row>
    <row r="11" spans="1:5" x14ac:dyDescent="0.2">
      <c r="A11" s="1"/>
    </row>
    <row r="12" spans="1:5" x14ac:dyDescent="0.2">
      <c r="A12" s="1"/>
    </row>
    <row r="13" spans="1:5" x14ac:dyDescent="0.2">
      <c r="A13" s="1"/>
    </row>
    <row r="14" spans="1:5" x14ac:dyDescent="0.2">
      <c r="A14" s="1"/>
    </row>
    <row r="15" spans="1:5" x14ac:dyDescent="0.2">
      <c r="A15" s="1"/>
    </row>
    <row r="16" spans="1:5" x14ac:dyDescent="0.2">
      <c r="A16" s="1"/>
    </row>
    <row r="18" spans="1:1" x14ac:dyDescent="0.2">
      <c r="A18" s="1"/>
    </row>
    <row r="19" spans="1:1" x14ac:dyDescent="0.2">
      <c r="A19" s="1"/>
    </row>
    <row r="20" spans="1:1" x14ac:dyDescent="0.2">
      <c r="A20" s="1"/>
    </row>
    <row r="21" spans="1:1" x14ac:dyDescent="0.2">
      <c r="A21" s="1"/>
    </row>
    <row r="22" spans="1:1" x14ac:dyDescent="0.2">
      <c r="A22" s="1"/>
    </row>
    <row r="24" spans="1:1" x14ac:dyDescent="0.2">
      <c r="A24" s="1"/>
    </row>
    <row r="25" spans="1:1" x14ac:dyDescent="0.2">
      <c r="A25" s="1"/>
    </row>
    <row r="26" spans="1:1" x14ac:dyDescent="0.2">
      <c r="A26" s="1"/>
    </row>
    <row r="27" spans="1:1" x14ac:dyDescent="0.2">
      <c r="A27" s="1"/>
    </row>
    <row r="28" spans="1:1" x14ac:dyDescent="0.2">
      <c r="A28" s="1"/>
    </row>
    <row r="29" spans="1:1" x14ac:dyDescent="0.2">
      <c r="A29" s="1"/>
    </row>
    <row r="30" spans="1:1" x14ac:dyDescent="0.2">
      <c r="A30" s="1"/>
    </row>
  </sheetData>
  <sortState xmlns:xlrd2="http://schemas.microsoft.com/office/spreadsheetml/2017/richdata2" ref="A1:A30">
    <sortCondition ref="A1:A3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Arian Wallach</cp:lastModifiedBy>
  <dcterms:created xsi:type="dcterms:W3CDTF">2024-02-17T23:57:24Z</dcterms:created>
  <dcterms:modified xsi:type="dcterms:W3CDTF">2024-11-24T06:58:54Z</dcterms:modified>
</cp:coreProperties>
</file>